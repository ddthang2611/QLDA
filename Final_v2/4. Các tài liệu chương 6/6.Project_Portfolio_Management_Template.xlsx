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Dashboard" sheetId="1" state="visible" r:id="rId1"/>
    <sheet xmlns:r="http://schemas.openxmlformats.org/officeDocument/2006/relationships" name="Project_Inventory_Selection" sheetId="2" state="visible" r:id="rId2"/>
    <sheet xmlns:r="http://schemas.openxmlformats.org/officeDocument/2006/relationships" name="Resource_Capacity_Pl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b val="1"/>
      <color rgb="00595959"/>
      <sz val="9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2" fontId="1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165" fontId="6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5" borderId="0" pivotButton="0" quotePrefix="0" xfId="0"/>
    <xf numFmtId="0" fontId="0" fillId="5" borderId="0" applyAlignment="1" pivotButton="0" quotePrefix="0" xfId="0">
      <alignment horizontal="center"/>
    </xf>
    <xf numFmtId="165" fontId="0" fillId="5" borderId="0" pivotButton="0" quotePrefix="0" xfId="0"/>
    <xf numFmtId="2" fontId="3" fillId="3" borderId="0" applyAlignment="1" pivotButton="0" quotePrefix="0" xfId="0">
      <alignment horizontal="center"/>
    </xf>
    <xf numFmtId="0" fontId="0" fillId="0" borderId="1" pivotButton="0" quotePrefix="0" xfId="0"/>
    <xf numFmtId="166" fontId="3" fillId="0" borderId="1" pivotButton="0" quotePrefix="0" xfId="0"/>
    <xf numFmtId="2" fontId="3" fillId="0" borderId="1" pivotButton="0" quotePrefix="0" xfId="0"/>
    <xf numFmtId="0" fontId="3" fillId="3" borderId="0" applyAlignment="1" pivotButton="0" quotePrefix="0" xfId="0">
      <alignment horizontal="center"/>
    </xf>
    <xf numFmtId="165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62" customWidth="1" min="2" max="2"/>
    <col width="96" customWidth="1" min="3" max="3"/>
    <col width="26" customWidth="1" min="4" max="4"/>
    <col width="44" customWidth="1" min="5" max="5"/>
    <col width="12" customWidth="1" min="6" max="6"/>
    <col width="48" customWidth="1" min="7" max="7"/>
  </cols>
  <sheetData>
    <row r="1">
      <c r="A1" s="1" t="inlineStr">
        <is>
          <t>BÁO CÁO TỔNG QUAN QUẢN LÝ DANH MỤC DỰ ÁN CNTT (IT PORTFOLIO DASHBOARD)</t>
        </is>
      </c>
    </row>
    <row r="2">
      <c r="A2" s="2" t="inlineStr">
        <is>
          <t>Chuỗi cửa hàng ABC Wear | Kỳ đánh giá: Q1 - Q2/2026 | Đơn vị tính: VNĐ</t>
        </is>
      </c>
    </row>
    <row r="3"/>
    <row r="4">
      <c r="A4" s="3" t="inlineStr">
        <is>
          <t>CHỈ SỐ HIỆU SUẤT DANH MỤC DỰ ÁN (PORTFOLIO KPIS)</t>
        </is>
      </c>
    </row>
    <row r="5">
      <c r="A5" s="4" t="inlineStr">
        <is>
          <t>TỔNG SỐ DỰ ÁN</t>
        </is>
      </c>
      <c r="C5" s="4" t="inlineStr">
        <is>
          <t>TỔNG NGÂN SÁCH DỰ BÓAN</t>
        </is>
      </c>
      <c r="E5" s="4" t="inlineStr">
        <is>
          <t>TỔNG GIÁ TRỊ GIẢI NGÂN</t>
        </is>
      </c>
      <c r="G5" s="4" t="inlineStr">
        <is>
          <t>ĐIỂM ƯU TIÊN TRUNG BÌNH</t>
        </is>
      </c>
    </row>
    <row r="6">
      <c r="A6" s="5">
        <f>COUNTA(Project_Inventory_Selection!B6:B11)</f>
        <v/>
      </c>
      <c r="C6" s="6">
        <f>SUM(Project_Inventory_Selection!E6:E11)</f>
        <v/>
      </c>
      <c r="E6" s="6">
        <f>SUM(Project_Inventory_Selection!F6:F11)</f>
        <v/>
      </c>
      <c r="G6" s="7">
        <f>AVERAGE(Project_Inventory_Selection!K6:K11)</f>
        <v/>
      </c>
    </row>
    <row r="7"/>
    <row r="8"/>
    <row r="9">
      <c r="A9" s="3" t="inlineStr">
        <is>
          <t>TỔNG HỢP DANH MỤC THEO TRẠNG THÁI VÀ MỨC ĐỘ RỦI RO</t>
        </is>
      </c>
    </row>
    <row r="10">
      <c r="A10" s="8" t="inlineStr">
        <is>
          <t>Trạng thái Dự án</t>
        </is>
      </c>
      <c r="B10" s="8" t="inlineStr">
        <is>
          <t>Số lượng Dự án</t>
        </is>
      </c>
      <c r="C10" s="8" t="inlineStr">
        <is>
          <t>Tổng Ngân sách (VNĐ)</t>
        </is>
      </c>
      <c r="D10" s="8" t="inlineStr">
        <is>
          <t>Tỷ trọng Ngân sách (%)</t>
        </is>
      </c>
    </row>
    <row r="11">
      <c r="A11" s="9" t="inlineStr">
        <is>
          <t>Executing</t>
        </is>
      </c>
      <c r="B11" s="10">
        <f>COUNTIF(Project_Inventory_Selection!L6:L11, "Executing")</f>
        <v/>
      </c>
      <c r="C11" s="11">
        <f>SUMIF(Project_Inventory_Selection!L6:L11, "Executing", Project_Inventory_Selection!E6:E11)</f>
        <v/>
      </c>
      <c r="D11" s="12">
        <f>C11/$C$15</f>
        <v/>
      </c>
    </row>
    <row r="12">
      <c r="A12" s="9" t="inlineStr">
        <is>
          <t>Planning</t>
        </is>
      </c>
      <c r="B12" s="10">
        <f>COUNTIF(Project_Inventory_Selection!L6:L11, "Planning")</f>
        <v/>
      </c>
      <c r="C12" s="11">
        <f>SUMIF(Project_Inventory_Selection!L6:L11, "Planning", Project_Inventory_Selection!E6:E11)</f>
        <v/>
      </c>
      <c r="D12" s="12">
        <f>C12/$C$15</f>
        <v/>
      </c>
    </row>
    <row r="13">
      <c r="A13" s="9" t="inlineStr">
        <is>
          <t>Initiating</t>
        </is>
      </c>
      <c r="B13" s="10">
        <f>COUNTIF(Project_Inventory_Selection!L6:L11, "Initiating")</f>
        <v/>
      </c>
      <c r="C13" s="11">
        <f>SUMIF(Project_Inventory_Selection!L6:L11, "Initiating", Project_Inventory_Selection!E6:E11)</f>
        <v/>
      </c>
      <c r="D13" s="12">
        <f>C13/$C$15</f>
        <v/>
      </c>
    </row>
    <row r="14">
      <c r="A14" s="9" t="inlineStr">
        <is>
          <t>Completed</t>
        </is>
      </c>
      <c r="B14" s="10">
        <f>COUNTIF(Project_Inventory_Selection!L6:L11, "Completed")</f>
        <v/>
      </c>
      <c r="C14" s="11">
        <f>SUMIF(Project_Inventory_Selection!L6:L11, "Completed", Project_Inventory_Selection!E6:E11)</f>
        <v/>
      </c>
      <c r="D14" s="12">
        <f>C14/$C$15</f>
        <v/>
      </c>
    </row>
    <row r="15">
      <c r="A15" s="13" t="inlineStr">
        <is>
          <t>TỔNG CỘNG</t>
        </is>
      </c>
      <c r="B15" s="13">
        <f>SUM(B11:B14)</f>
        <v/>
      </c>
      <c r="C15" s="14">
        <f>SUM(C11:C14)</f>
        <v/>
      </c>
      <c r="D15" s="15">
        <f>SUM(D11:D14)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61" customWidth="1" min="2" max="2"/>
    <col width="20" customWidth="1" min="3" max="3"/>
    <col width="16" customWidth="1" min="4" max="4"/>
    <col width="19" customWidth="1" min="5" max="5"/>
    <col width="25" customWidth="1" min="6" max="6"/>
    <col width="19" customWidth="1" min="7" max="7"/>
    <col width="25" customWidth="1" min="8" max="8"/>
    <col width="21" customWidth="1" min="9" max="9"/>
    <col width="20" customWidth="1" min="10" max="10"/>
    <col width="38" customWidth="1" min="11" max="11"/>
    <col width="14" customWidth="1" min="12" max="12"/>
  </cols>
  <sheetData>
    <row r="1">
      <c r="A1" s="1" t="inlineStr">
        <is>
          <t>DANH MỤC DỰ ÁN CHIẾN LƯỢC VÀ MA TRẬN ĐÁNH GIÁ ƯU TIÊN (PORTFOLIO SELECTION MATRIX)</t>
        </is>
      </c>
    </row>
    <row r="2"/>
    <row r="3"/>
    <row r="4"/>
    <row r="5">
      <c r="A5" s="16" t="inlineStr">
        <is>
          <t>Mã DA</t>
        </is>
      </c>
      <c r="B5" s="16" t="inlineStr">
        <is>
          <t>Tên Dự Án Chiến Lược</t>
        </is>
      </c>
      <c r="C5" s="16" t="inlineStr">
        <is>
          <t>Sponsor / Don vi</t>
        </is>
      </c>
      <c r="D5" s="16" t="inlineStr">
        <is>
          <t>PM Phụ Trách</t>
        </is>
      </c>
      <c r="E5" s="16" t="inlineStr">
        <is>
          <t>Ngân Sách (VNĐ)</t>
        </is>
      </c>
      <c r="F5" s="16" t="inlineStr">
        <is>
          <t>Chi Phí Thực Tế (VNĐ)</t>
        </is>
      </c>
      <c r="G5" s="16" t="inlineStr">
        <is>
          <t>Go-Live Dự Kiến</t>
        </is>
      </c>
      <c r="H5" s="16" t="inlineStr">
        <is>
          <t>Strategic Align (1-5)</t>
        </is>
      </c>
      <c r="I5" s="16" t="inlineStr">
        <is>
          <t>Risk Rating (1-5)</t>
        </is>
      </c>
      <c r="J5" s="16" t="inlineStr">
        <is>
          <t>ROI Dự Kiến (%)</t>
        </is>
      </c>
      <c r="K5" s="16" t="inlineStr">
        <is>
          <t>Điểm Ưu Tiên Score</t>
        </is>
      </c>
      <c r="L5" s="16" t="inlineStr">
        <is>
          <t>Trạng Thái</t>
        </is>
      </c>
    </row>
    <row r="6">
      <c r="A6" s="17" t="inlineStr">
        <is>
          <t>PRJ-01</t>
        </is>
      </c>
      <c r="B6" s="3" t="inlineStr">
        <is>
          <t>Hệ thống Kênh bán hàng Internet (Web Selling Site)</t>
        </is>
      </c>
      <c r="C6" t="inlineStr">
        <is>
          <t>Khối Retail</t>
        </is>
      </c>
      <c r="D6" t="inlineStr">
        <is>
          <t>Nguyễn Văn A</t>
        </is>
      </c>
      <c r="E6" s="18" t="n">
        <v>1200000000</v>
      </c>
      <c r="F6" s="18" t="n">
        <v>825600000</v>
      </c>
      <c r="G6" s="17" t="inlineStr">
        <is>
          <t>2026-07-01</t>
        </is>
      </c>
      <c r="H6" s="19" t="n">
        <v>5</v>
      </c>
      <c r="I6" s="19" t="n">
        <v>2</v>
      </c>
      <c r="J6" s="20" t="n">
        <v>0.35</v>
      </c>
      <c r="K6" s="21">
        <f>(H6*0.4)+(J6*100*0.4)-(I6*0.2)</f>
        <v/>
      </c>
      <c r="L6" s="17" t="inlineStr">
        <is>
          <t>Executing</t>
        </is>
      </c>
    </row>
    <row r="7">
      <c r="A7" s="17" t="inlineStr">
        <is>
          <t>PRJ-02</t>
        </is>
      </c>
      <c r="B7" s="3" t="inlineStr">
        <is>
          <t>Nâng cấp Tích hợp Hệ thống Lõi (Main System Core Upgrade)</t>
        </is>
      </c>
      <c r="C7" t="inlineStr">
        <is>
          <t>Khối IT</t>
        </is>
      </c>
      <c r="D7" t="inlineStr">
        <is>
          <t>Trần Văn B</t>
        </is>
      </c>
      <c r="E7" s="18" t="n">
        <v>850000000</v>
      </c>
      <c r="F7" s="18" t="n">
        <v>300000000</v>
      </c>
      <c r="G7" s="17" t="inlineStr">
        <is>
          <t>2026-08-15</t>
        </is>
      </c>
      <c r="H7" s="19" t="n">
        <v>5</v>
      </c>
      <c r="I7" s="19" t="n">
        <v>3</v>
      </c>
      <c r="J7" s="20" t="n">
        <v>0.25</v>
      </c>
      <c r="K7" s="21">
        <f>(H7*0.4)+(J7*100*0.4)-(I7*0.2)</f>
        <v/>
      </c>
      <c r="L7" s="17" t="inlineStr">
        <is>
          <t>Executing</t>
        </is>
      </c>
    </row>
    <row r="8">
      <c r="A8" s="17" t="inlineStr">
        <is>
          <t>PRJ-03</t>
        </is>
      </c>
      <c r="B8" s="3" t="inlineStr">
        <is>
          <t>Hệ thống Đồng bộ Chuỗi Cửa hàng CRM-POS Omnichannel</t>
        </is>
      </c>
      <c r="C8" t="inlineStr">
        <is>
          <t>Khối Marketing</t>
        </is>
      </c>
      <c r="D8" t="inlineStr">
        <is>
          <t>Lê Thị C</t>
        </is>
      </c>
      <c r="E8" s="18" t="n">
        <v>600000000</v>
      </c>
      <c r="F8" s="18" t="n">
        <v>50000000</v>
      </c>
      <c r="G8" s="17" t="inlineStr">
        <is>
          <t>2026-10-30</t>
        </is>
      </c>
      <c r="H8" s="19" t="n">
        <v>4</v>
      </c>
      <c r="I8" s="19" t="n">
        <v>2</v>
      </c>
      <c r="J8" s="20" t="n">
        <v>0.2</v>
      </c>
      <c r="K8" s="21">
        <f>(H8*0.4)+(J8*100*0.4)-(I8*0.2)</f>
        <v/>
      </c>
      <c r="L8" s="17" t="inlineStr">
        <is>
          <t>Planning</t>
        </is>
      </c>
    </row>
    <row r="9">
      <c r="A9" s="17" t="inlineStr">
        <is>
          <t>PRJ-04</t>
        </is>
      </c>
      <c r="B9" s="3" t="inlineStr">
        <is>
          <t>Tự động hóa Quản lý Kho &amp; Logistics (WMS Smart)</t>
        </is>
      </c>
      <c r="C9" t="inlineStr">
        <is>
          <t>Khối Vận hành</t>
        </is>
      </c>
      <c r="D9" t="inlineStr">
        <is>
          <t>Phạm Văn D</t>
        </is>
      </c>
      <c r="E9" s="18" t="n">
        <v>950000000</v>
      </c>
      <c r="F9" s="18" t="n">
        <v>0</v>
      </c>
      <c r="G9" s="17" t="inlineStr">
        <is>
          <t>2026-12-15</t>
        </is>
      </c>
      <c r="H9" s="19" t="n">
        <v>4</v>
      </c>
      <c r="I9" s="19" t="n">
        <v>4</v>
      </c>
      <c r="J9" s="20" t="n">
        <v>0.3</v>
      </c>
      <c r="K9" s="21">
        <f>(H9*0.4)+(J9*100*0.4)-(I9*0.2)</f>
        <v/>
      </c>
      <c r="L9" s="17" t="inlineStr">
        <is>
          <t>Initiating</t>
        </is>
      </c>
    </row>
    <row r="10">
      <c r="A10" s="17" t="inlineStr">
        <is>
          <t>PRJ-05</t>
        </is>
      </c>
      <c r="B10" s="3" t="inlineStr">
        <is>
          <t>Ứng dụng Di động Bán hàng (Mobile Shopping App)</t>
        </is>
      </c>
      <c r="C10" t="inlineStr">
        <is>
          <t>Khối Retail</t>
        </is>
      </c>
      <c r="D10" t="inlineStr">
        <is>
          <t>Hoàng Văn E</t>
        </is>
      </c>
      <c r="E10" s="18" t="n">
        <v>700000000</v>
      </c>
      <c r="F10" s="18" t="n">
        <v>0</v>
      </c>
      <c r="G10" s="17" t="inlineStr">
        <is>
          <t>2027-02-28</t>
        </is>
      </c>
      <c r="H10" s="19" t="n">
        <v>3</v>
      </c>
      <c r="I10" s="19" t="n">
        <v>3</v>
      </c>
      <c r="J10" s="20" t="n">
        <v>0.18</v>
      </c>
      <c r="K10" s="21">
        <f>(H10*0.4)+(J10*100*0.4)-(I10*0.2)</f>
        <v/>
      </c>
      <c r="L10" s="17" t="inlineStr">
        <is>
          <t>Initiating</t>
        </is>
      </c>
    </row>
    <row r="11">
      <c r="A11" s="17" t="inlineStr">
        <is>
          <t>PRJ-06</t>
        </is>
      </c>
      <c r="B11" s="3" t="inlineStr">
        <is>
          <t>Hệ thống Phân tích Dữ liệu Khách hàng (AI Analytics)</t>
        </is>
      </c>
      <c r="C11" t="inlineStr">
        <is>
          <t>Khối BI</t>
        </is>
      </c>
      <c r="D11" t="inlineStr">
        <is>
          <t>Đỗ Thị F</t>
        </is>
      </c>
      <c r="E11" s="18" t="n">
        <v>500000000</v>
      </c>
      <c r="F11" s="18" t="n">
        <v>500000000</v>
      </c>
      <c r="G11" s="17" t="inlineStr">
        <is>
          <t>2026-02-15</t>
        </is>
      </c>
      <c r="H11" s="19" t="n">
        <v>4</v>
      </c>
      <c r="I11" s="19" t="n">
        <v>1</v>
      </c>
      <c r="J11" s="20" t="n">
        <v>0.22</v>
      </c>
      <c r="K11" s="21">
        <f>(H11*0.4)+(J11*100*0.4)-(I11*0.2)</f>
        <v/>
      </c>
      <c r="L11" s="17" t="inlineStr">
        <is>
          <t>Completed</t>
        </is>
      </c>
    </row>
    <row r="12">
      <c r="A12" s="13" t="inlineStr">
        <is>
          <t>TỔNG / TRUNG BÌNH</t>
        </is>
      </c>
      <c r="B12" s="22" t="n"/>
      <c r="C12" s="22" t="n"/>
      <c r="D12" s="22" t="n"/>
      <c r="E12" s="14">
        <f>SUM(E6:E11)</f>
        <v/>
      </c>
      <c r="F12" s="14">
        <f>SUM(F6:F11)</f>
        <v/>
      </c>
      <c r="G12" s="22" t="n"/>
      <c r="H12" s="23">
        <f>AVERAGE(H6:H11)</f>
        <v/>
      </c>
      <c r="I12" s="23">
        <f>AVERAGE(I6:I11)</f>
        <v/>
      </c>
      <c r="J12" s="15">
        <f>AVERAGE(J6:J11)</f>
        <v/>
      </c>
      <c r="K12" s="24">
        <f>AVERAGE(K6:K11)</f>
        <v/>
      </c>
      <c r="L12" s="22" t="n"/>
    </row>
  </sheetData>
  <dataValidations count="1">
    <dataValidation sqref="L6:L11" showDropDown="0" showInputMessage="0" showErrorMessage="0" allowBlank="1" type="list">
      <formula1>"Initiating,Planning,Executing,Completed,Cancelled"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44" customWidth="1" min="2" max="2"/>
    <col width="24" customWidth="1" min="3" max="3"/>
    <col width="25" customWidth="1" min="4" max="4"/>
    <col width="25" customWidth="1" min="5" max="5"/>
    <col width="20" customWidth="1" min="6" max="6"/>
    <col width="20" customWidth="1" min="7" max="7"/>
    <col width="23" customWidth="1" min="8" max="8"/>
  </cols>
  <sheetData>
    <row r="1">
      <c r="A1" s="1" t="inlineStr">
        <is>
          <t>KẾ HOẠCH PHÂN BỔ NGUỒN LỰC NHÂN SỰ TOÀN DANH MỤC (RESOURCE CAPACITY PLANNING)</t>
        </is>
      </c>
    </row>
    <row r="2"/>
    <row r="3"/>
    <row r="4"/>
    <row r="5">
      <c r="A5" s="16" t="inlineStr">
        <is>
          <t>Mã Vai Trò</t>
        </is>
      </c>
      <c r="B5" s="16" t="inlineStr">
        <is>
          <t>Chức Danh Nhân Sự</t>
        </is>
      </c>
      <c r="C5" s="16" t="inlineStr">
        <is>
          <t>Định Mức Giờ / Tháng</t>
        </is>
      </c>
      <c r="D5" s="16" t="inlineStr">
        <is>
          <t>PRJ-01 (Selling Site)</t>
        </is>
      </c>
      <c r="E5" s="16" t="inlineStr">
        <is>
          <t>PRJ-02 (Core Upgrade)</t>
        </is>
      </c>
      <c r="F5" s="16" t="inlineStr">
        <is>
          <t>PRJ-03 (CRM-POS)</t>
        </is>
      </c>
      <c r="G5" s="16" t="inlineStr">
        <is>
          <t>Tổng Giờ Phân Bổ</t>
        </is>
      </c>
      <c r="H5" s="16" t="inlineStr">
        <is>
          <t>Tỷ Lệ Tải Trọng (%)</t>
        </is>
      </c>
    </row>
    <row r="6">
      <c r="A6" s="17" t="inlineStr">
        <is>
          <t>PM</t>
        </is>
      </c>
      <c r="B6" s="3" t="inlineStr">
        <is>
          <t>Quản lý dự án (Project Manager)</t>
        </is>
      </c>
      <c r="C6" s="17" t="n">
        <v>160</v>
      </c>
      <c r="D6" s="19" t="n">
        <v>60</v>
      </c>
      <c r="E6" s="19" t="n">
        <v>50</v>
      </c>
      <c r="F6" s="19" t="n">
        <v>40</v>
      </c>
      <c r="G6" s="25">
        <f>SUM(D6:F6)</f>
        <v/>
      </c>
      <c r="H6" s="26">
        <f>G6/C6</f>
        <v/>
      </c>
    </row>
    <row r="7">
      <c r="A7" s="17" t="inlineStr">
        <is>
          <t>SA</t>
        </is>
      </c>
      <c r="B7" s="3" t="inlineStr">
        <is>
          <t>Kiến trúc sư hệ thống (System Architect)</t>
        </is>
      </c>
      <c r="C7" s="17" t="n">
        <v>160</v>
      </c>
      <c r="D7" s="19" t="n">
        <v>50</v>
      </c>
      <c r="E7" s="19" t="n">
        <v>60</v>
      </c>
      <c r="F7" s="19" t="n">
        <v>30</v>
      </c>
      <c r="G7" s="25">
        <f>SUM(D7:F7)</f>
        <v/>
      </c>
      <c r="H7" s="26">
        <f>G7/C7</f>
        <v/>
      </c>
    </row>
    <row r="8">
      <c r="A8" s="17" t="inlineStr">
        <is>
          <t>BA</t>
        </is>
      </c>
      <c r="B8" s="3" t="inlineStr">
        <is>
          <t>Chuyên viên Phân tích Nghiệp vụ</t>
        </is>
      </c>
      <c r="C8" s="17" t="n">
        <v>160</v>
      </c>
      <c r="D8" s="19" t="n">
        <v>70</v>
      </c>
      <c r="E8" s="19" t="n">
        <v>40</v>
      </c>
      <c r="F8" s="19" t="n">
        <v>40</v>
      </c>
      <c r="G8" s="25">
        <f>SUM(D8:F8)</f>
        <v/>
      </c>
      <c r="H8" s="26">
        <f>G8/C8</f>
        <v/>
      </c>
    </row>
    <row r="9">
      <c r="A9" s="17" t="inlineStr">
        <is>
          <t>UX</t>
        </is>
      </c>
      <c r="B9" s="3" t="inlineStr">
        <is>
          <t>Thiết kế Giao diện (UI/UX Designer)</t>
        </is>
      </c>
      <c r="C9" s="17" t="n">
        <v>160</v>
      </c>
      <c r="D9" s="19" t="n">
        <v>40</v>
      </c>
      <c r="E9" s="19" t="n">
        <v>20</v>
      </c>
      <c r="F9" s="19" t="n">
        <v>30</v>
      </c>
      <c r="G9" s="25">
        <f>SUM(D9:F9)</f>
        <v/>
      </c>
      <c r="H9" s="26">
        <f>G9/C9</f>
        <v/>
      </c>
    </row>
    <row r="10">
      <c r="A10" s="17" t="inlineStr">
        <is>
          <t>DEV</t>
        </is>
      </c>
      <c r="B10" s="3" t="inlineStr">
        <is>
          <t>Kỹ sư Lập trình (Lead Developer)</t>
        </is>
      </c>
      <c r="C10" s="17" t="n">
        <v>160</v>
      </c>
      <c r="D10" s="19" t="n">
        <v>100</v>
      </c>
      <c r="E10" s="19" t="n">
        <v>40</v>
      </c>
      <c r="F10" s="19" t="n">
        <v>20</v>
      </c>
      <c r="G10" s="25">
        <f>SUM(D10:F10)</f>
        <v/>
      </c>
      <c r="H10" s="26">
        <f>G10/C10</f>
        <v/>
      </c>
    </row>
    <row r="11">
      <c r="A11" s="17" t="inlineStr">
        <is>
          <t>QC</t>
        </is>
      </c>
      <c r="B11" s="3" t="inlineStr">
        <is>
          <t>Chuyên viên Kiểm thử (QA/QC Lead)</t>
        </is>
      </c>
      <c r="C11" s="17" t="n">
        <v>160</v>
      </c>
      <c r="D11" s="19" t="n">
        <v>60</v>
      </c>
      <c r="E11" s="19" t="n">
        <v>40</v>
      </c>
      <c r="F11" s="19" t="n">
        <v>30</v>
      </c>
      <c r="G11" s="25">
        <f>SUM(D11:F11)</f>
        <v/>
      </c>
      <c r="H11" s="26">
        <f>G11/C11</f>
        <v/>
      </c>
    </row>
    <row r="12">
      <c r="A12" s="17" t="inlineStr">
        <is>
          <t>OPS</t>
        </is>
      </c>
      <c r="B12" s="3" t="inlineStr">
        <is>
          <t>Kỹ sư Hạ tầng &amp; Vận hành Cloud</t>
        </is>
      </c>
      <c r="C12" s="17" t="n">
        <v>160</v>
      </c>
      <c r="D12" s="19" t="n">
        <v>50</v>
      </c>
      <c r="E12" s="19" t="n">
        <v>50</v>
      </c>
      <c r="F12" s="19" t="n">
        <v>20</v>
      </c>
      <c r="G12" s="25">
        <f>SUM(D12:F12)</f>
        <v/>
      </c>
      <c r="H12" s="26">
        <f>G12/C12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2026-10-25T14:48:44Z</dcterms:created>
  <dcterms:modified xmlns:dcterms="http://purl.org/dc/terms/" xmlns:xsi="http://www.w3.org/2001/XMLSchema-instance" xsi:type="dcterms:W3CDTF">2026-10-25T14:48:44Z</dcterms:modified>
</cp:coreProperties>
</file>