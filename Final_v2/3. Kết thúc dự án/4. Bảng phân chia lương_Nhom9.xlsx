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UONG_DAN" sheetId="1" state="hidden" r:id="rId1"/>
    <sheet xmlns:r="http://schemas.openxmlformats.org/officeDocument/2006/relationships" name="Đơn giá" sheetId="2" state="visible" r:id="rId2"/>
    <sheet xmlns:r="http://schemas.openxmlformats.org/officeDocument/2006/relationships" name="Theo WBS theo vai trò" sheetId="3" state="visible" r:id="rId3"/>
    <sheet xmlns:r="http://schemas.openxmlformats.org/officeDocument/2006/relationships" name="Theo tháng" sheetId="4" state="visible" r:id="rId4"/>
    <sheet xmlns:r="http://schemas.openxmlformats.org/officeDocument/2006/relationships" name="Tổng hợp" sheetId="5" state="visible" r:id="rId5"/>
    <sheet xmlns:r="http://schemas.openxmlformats.org/officeDocument/2006/relationships" name="Phân lương chi tiết theo nhân 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\-#,##0;\-"/>
    <numFmt numFmtId="165" formatCode="mm/yyyy"/>
    <numFmt numFmtId="166" formatCode="#,##0.0;\-#,##0.0;\-"/>
    <numFmt numFmtId="167" formatCode="m/yyyy"/>
    <numFmt numFmtId="168" formatCode="0.0%"/>
  </numFmts>
  <fonts count="16">
    <font>
      <name val="Calibri"/>
      <color theme="1"/>
      <sz val="11"/>
      <scheme val="minor"/>
    </font>
    <font>
      <name val="Arial"/>
      <b val="1"/>
      <color rgb="FF1F3A5F"/>
      <sz val="14"/>
    </font>
    <font>
      <name val="Arial"/>
      <i val="1"/>
      <color rgb="FF6B7280"/>
      <sz val="10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0000FF"/>
      <sz val="10"/>
    </font>
    <font>
      <name val="Calibri"/>
      <color theme="1"/>
      <sz val="11"/>
    </font>
    <font>
      <name val="Arial"/>
      <color rgb="FF6B7280"/>
      <sz val="10"/>
    </font>
    <font>
      <name val="Arial"/>
      <b val="1"/>
      <color rgb="FF0000FF"/>
      <sz val="10"/>
    </font>
    <font>
      <name val="Arial"/>
      <color rgb="FF008000"/>
      <sz val="10"/>
    </font>
    <font>
      <name val="Calibri"/>
      <color theme="1"/>
      <scheme val="minor"/>
    </font>
    <font>
      <name val="Arial"/>
      <color theme="1"/>
      <sz val="12"/>
    </font>
    <font>
      <name val="Arial"/>
      <color rgb="FF000000"/>
      <sz val="12"/>
    </font>
    <font>
      <name val="Arial"/>
      <b val="1"/>
      <color theme="1"/>
      <sz val="11"/>
    </font>
    <font>
      <name val="Arial"/>
      <b val="1"/>
      <color rgb="FF000000"/>
      <sz val="12"/>
    </font>
  </fonts>
  <fills count="5">
    <fill>
      <patternFill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D6E0EC"/>
        <bgColor rgb="FFD6E0EC"/>
      </patternFill>
    </fill>
    <fill>
      <patternFill patternType="solid">
        <fgColor rgb="FFFFF2CC"/>
        <bgColor rgb="FFFFF2CC"/>
      </patternFill>
    </fill>
  </fills>
  <borders count="9">
    <border/>
    <border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</border>
    <border>
      <left/>
      <right/>
      <top/>
      <bottom/>
    </border>
    <border>
      <left style="thin">
        <color rgb="FFBFC5CC"/>
      </left>
      <right style="thin">
        <color rgb="FFBFC5CC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applyAlignment="1" pivotButton="0" quotePrefix="0" xfId="0">
      <alignment horizontal="left" vertical="top"/>
    </xf>
    <xf numFmtId="164" fontId="6" fillId="4" borderId="1" pivotButton="0" quotePrefix="0" xfId="0"/>
    <xf numFmtId="0" fontId="5" fillId="0" borderId="0" pivotButton="0" quotePrefix="0" xfId="0"/>
    <xf numFmtId="0" fontId="6" fillId="4" borderId="1" pivotButton="0" quotePrefix="0" xfId="0"/>
    <xf numFmtId="165" fontId="6" fillId="4" borderId="1" pivotButton="0" quotePrefix="0" xfId="0"/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7" fillId="0" borderId="1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 wrapText="1"/>
    </xf>
    <xf numFmtId="165" fontId="3" fillId="2" borderId="1" applyAlignment="1" pivotButton="0" quotePrefix="0" xfId="0">
      <alignment horizontal="center" vertical="center" wrapText="1"/>
    </xf>
    <xf numFmtId="166" fontId="5" fillId="3" borderId="1" applyAlignment="1" pivotButton="0" quotePrefix="0" xfId="0">
      <alignment horizontal="right" vertical="top"/>
    </xf>
    <xf numFmtId="167" fontId="3" fillId="2" borderId="1" applyAlignment="1" pivotButton="0" quotePrefix="0" xfId="0">
      <alignment horizontal="center" vertical="center" wrapText="1"/>
    </xf>
    <xf numFmtId="0" fontId="9" fillId="4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166" fontId="6" fillId="4" borderId="1" pivotButton="0" quotePrefix="0" xfId="0"/>
    <xf numFmtId="166" fontId="7" fillId="0" borderId="1" pivotButton="0" quotePrefix="0" xfId="0"/>
    <xf numFmtId="166" fontId="7" fillId="0" borderId="1" pivotButton="0" quotePrefix="0" xfId="0"/>
    <xf numFmtId="166" fontId="10" fillId="0" borderId="1" pivotButton="0" quotePrefix="0" xfId="0"/>
    <xf numFmtId="164" fontId="5" fillId="3" borderId="1" applyAlignment="1" pivotButton="0" quotePrefix="0" xfId="0">
      <alignment horizontal="right" vertical="top"/>
    </xf>
    <xf numFmtId="0" fontId="7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vertical="top" wrapText="1"/>
    </xf>
    <xf numFmtId="166" fontId="6" fillId="4" borderId="1" applyAlignment="1" pivotButton="0" quotePrefix="0" xfId="0">
      <alignment horizontal="right" vertical="top"/>
    </xf>
    <xf numFmtId="166" fontId="4" fillId="0" borderId="1" applyAlignment="1" pivotButton="0" quotePrefix="0" xfId="0">
      <alignment horizontal="right" vertical="top"/>
    </xf>
    <xf numFmtId="0" fontId="11" fillId="0" borderId="0" applyAlignment="1" pivotButton="0" quotePrefix="0" xfId="0">
      <alignment wrapText="1"/>
    </xf>
    <xf numFmtId="0" fontId="4" fillId="0" borderId="1" pivotButton="0" quotePrefix="0" xfId="0"/>
    <xf numFmtId="164" fontId="4" fillId="0" borderId="1" applyAlignment="1" pivotButton="0" quotePrefix="0" xfId="0">
      <alignment horizontal="right" vertical="top"/>
    </xf>
    <xf numFmtId="166" fontId="6" fillId="4" borderId="1" applyAlignment="1" pivotButton="0" quotePrefix="0" xfId="0">
      <alignment horizontal="right" vertical="top"/>
    </xf>
    <xf numFmtId="0" fontId="5" fillId="3" borderId="1" pivotButton="0" quotePrefix="0" xfId="0"/>
    <xf numFmtId="166" fontId="7" fillId="3" borderId="1" pivotButton="0" quotePrefix="0" xfId="0"/>
    <xf numFmtId="166" fontId="7" fillId="0" borderId="0" pivotButton="0" quotePrefix="0" xfId="0"/>
    <xf numFmtId="164" fontId="10" fillId="0" borderId="1" pivotButton="0" quotePrefix="0" xfId="0"/>
    <xf numFmtId="164" fontId="7" fillId="3" borderId="1" pivotButton="0" quotePrefix="0" xfId="0"/>
    <xf numFmtId="164" fontId="7" fillId="0" borderId="1" pivotButton="0" quotePrefix="0" xfId="0"/>
    <xf numFmtId="168" fontId="7" fillId="0" borderId="1" pivotButton="0" quotePrefix="0" xfId="0"/>
    <xf numFmtId="0" fontId="12" fillId="0" borderId="0" applyAlignment="1" pivotButton="0" quotePrefix="0" xfId="0">
      <alignment horizontal="center" vertical="center"/>
    </xf>
    <xf numFmtId="0" fontId="13" fillId="0" borderId="4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164" fontId="13" fillId="0" borderId="5" applyAlignment="1" pivotButton="0" quotePrefix="0" xfId="0">
      <alignment horizontal="right" vertical="bottom"/>
    </xf>
    <xf numFmtId="0" fontId="11" fillId="0" borderId="0" pivotButton="0" quotePrefix="0" xfId="0"/>
    <xf numFmtId="164" fontId="13" fillId="0" borderId="5" applyAlignment="1" pivotButton="0" quotePrefix="0" xfId="0">
      <alignment horizontal="right" vertical="bottom"/>
    </xf>
    <xf numFmtId="0" fontId="4" fillId="0" borderId="1" applyAlignment="1" pivotButton="0" quotePrefix="0" xfId="0">
      <alignment vertical="top" wrapText="1"/>
    </xf>
    <xf numFmtId="0" fontId="7" fillId="3" borderId="1" pivotButton="0" quotePrefix="0" xfId="0"/>
    <xf numFmtId="0" fontId="4" fillId="3" borderId="1" pivotButton="0" quotePrefix="0" xfId="0"/>
    <xf numFmtId="164" fontId="7" fillId="3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14" fillId="0" borderId="0" pivotButton="0" quotePrefix="0" xfId="0"/>
    <xf numFmtId="166" fontId="10" fillId="0" borderId="1" applyAlignment="1" pivotButton="0" quotePrefix="0" xfId="0">
      <alignment vertical="top" wrapText="1"/>
    </xf>
    <xf numFmtId="0" fontId="13" fillId="0" borderId="6" applyAlignment="1" pivotButton="0" quotePrefix="0" xfId="0">
      <alignment vertical="bottom"/>
    </xf>
    <xf numFmtId="164" fontId="10" fillId="0" borderId="1" applyAlignment="1" pivotButton="0" quotePrefix="0" xfId="0">
      <alignment vertical="top" wrapText="1"/>
    </xf>
    <xf numFmtId="0" fontId="15" fillId="0" borderId="7" applyAlignment="1" pivotButton="0" quotePrefix="0" xfId="0">
      <alignment horizontal="left" vertical="bottom"/>
    </xf>
    <xf numFmtId="0" fontId="15" fillId="0" borderId="7" applyAlignment="1" pivotButton="0" quotePrefix="0" xfId="0">
      <alignment vertical="bottom"/>
    </xf>
    <xf numFmtId="168" fontId="4" fillId="0" borderId="1" applyAlignment="1" pivotButton="0" quotePrefix="0" xfId="0">
      <alignment vertical="top" wrapText="1"/>
    </xf>
    <xf numFmtId="164" fontId="15" fillId="0" borderId="8" applyAlignment="1" pivotButton="0" quotePrefix="0" xfId="0">
      <alignment horizontal="right" vertical="bottom"/>
    </xf>
    <xf numFmtId="166" fontId="5" fillId="3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 val="1"/>
        <color rgb="FFC00000"/>
      </font>
      <fill>
        <patternFill/>
      </fill>
      <border/>
    </dxf>
    <dxf>
      <font>
        <color rgb="FFC00000"/>
      </font>
      <fill>
        <patternFill/>
      </fill>
      <border/>
    </dxf>
  </dxfs>
  <tableStyles count="1" defaultTableStyle="TableStyleMedium9" defaultPivotStyle="PivotStyleLight16">
    <tableStyle name="Phân lương chi tiết theo nhân 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Bảng_1" displayName="Bảng_1" ref="A1:D12" headerRowCount="1">
  <tableColumns count="4">
    <tableColumn id="1" name="STT"/>
    <tableColumn id="2" name="Vị trí"/>
    <tableColumn id="3" name="Tên nhân viên"/>
    <tableColumn id="4" name="Tổng lương (VND)"/>
  </tableColumns>
  <tableStyleInfo name="Phân lương chi tiết theo nhân 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65" min="1" max="1"/>
    <col width="120" customWidth="1" style="65" min="2" max="2"/>
    <col width="8.57" customWidth="1" style="65" min="3" max="26"/>
  </cols>
  <sheetData>
    <row r="1" ht="14.25" customHeight="1" s="65">
      <c r="A1" s="2" t="inlineStr">
        <is>
          <t>Dự toán chi phí nhân công – Website bán hàng trực tuyến ABC Wear (biểu mẫu)</t>
        </is>
      </c>
    </row>
    <row r="2" ht="14.25" customHeight="1" s="65">
      <c r="A2" s="3" t="inlineStr">
        <is>
          <t>Biểu mẫu trống có công thức. File không chứa lương, thu nhập hay hệ số lương của bất kỳ cá nhân nào.</t>
        </is>
      </c>
    </row>
    <row r="3" ht="14.25" customHeight="1" s="65"/>
    <row r="4" ht="14.25" customHeight="1" s="65">
      <c r="A4" s="12" t="inlineStr">
        <is>
          <t>Phạm vi biểu mẫu</t>
        </is>
      </c>
      <c r="B4" s="15" t="inlineStr">
        <is>
          <t>Chi phí nhân công Bên B tính theo VAI TRÒ = ngày công × đơn giá ngày công của vai trò. Không lập bảng lương theo từng người – theo nguyên tắc dự án mục 12.</t>
        </is>
      </c>
    </row>
    <row r="5" ht="14.25" customHeight="1" s="65">
      <c r="A5" s="19" t="inlineStr">
        <is>
          <t>Ô nền vàng, chữ xanh</t>
        </is>
      </c>
      <c r="B5" s="15" t="inlineStr">
        <is>
          <t>Ô nhập: đơn giá, tham số %, ngày công theo gói, ngày công theo tháng, tháng bắt đầu.</t>
        </is>
      </c>
    </row>
    <row r="6" ht="14.25" customHeight="1" s="65">
      <c r="A6" s="12" t="inlineStr">
        <is>
          <t>Chữ đen</t>
        </is>
      </c>
      <c r="B6" s="15" t="inlineStr">
        <is>
          <t>Công thức – không nhập đè. Chữ xanh lá: liên kết từ sheet khác.</t>
        </is>
      </c>
    </row>
    <row r="7" ht="14.25" customHeight="1" s="65">
      <c r="A7" s="12" t="inlineStr">
        <is>
          <t>&lt;&lt;THIẾU&gt;&gt;</t>
        </is>
      </c>
      <c r="B7" s="15" t="inlineStr">
        <is>
          <t>Ô kết quả hiển thị &lt;&lt;THIẾU&gt;&gt; cho tới khi nhập đủ dữ liệu đầu vào.</t>
        </is>
      </c>
    </row>
    <row r="8" ht="14.25" customHeight="1" s="65">
      <c r="A8" s="12" t="inlineStr">
        <is>
          <t>Bước 1 – DON_GIA</t>
        </is>
      </c>
      <c r="B8" s="15" t="inlineStr">
        <is>
          <t>Nhập đơn giá ngày công cho 7 vai trò (đơn giá chào thầu hoặc định mức nội bộ của đơn vị) kèm nguồn; nhập các tham số %.</t>
        </is>
      </c>
    </row>
    <row r="9" ht="14.25" customHeight="1" s="65">
      <c r="A9" s="12" t="inlineStr">
        <is>
          <t>Bước 2 – NGAY_CONG_WBS</t>
        </is>
      </c>
      <c r="B9" s="15" t="inlineStr">
        <is>
          <t>Nhập ngày công theo vai trò cho từng gói cấp 2. Số liệu lấy từ cột N–T của WBS_Nhom9_v3.xlsx sau khi có ước lượng (TD-W01).</t>
        </is>
      </c>
    </row>
    <row r="10" ht="14.25" customHeight="1" s="65">
      <c r="A10" s="12" t="inlineStr">
        <is>
          <t>Bước 3 – THEO_THANG</t>
        </is>
      </c>
      <c r="B10" s="15" t="inlineStr">
        <is>
          <t>Phân bổ ngày công theo tháng theo lịch WBS v3; dòng kiểm tra báo LỆCH nếu tổng theo tháng khác tổng theo WBS.</t>
        </is>
      </c>
    </row>
    <row r="11" ht="14.25" customHeight="1" s="65">
      <c r="A11" s="12" t="inlineStr">
        <is>
          <t>Bước 4 – TONG_HOP</t>
        </is>
      </c>
      <c r="B11" s="15" t="inlineStr">
        <is>
          <t>Xem chi phí theo vai trò, theo giai đoạn, chi phí chung, dự phòng, thuế và tổng dự toán.</t>
        </is>
      </c>
    </row>
    <row r="12" ht="14.25" customHeight="1" s="65">
      <c r="A12" s="12" t="inlineStr">
        <is>
          <t>Phạm vi chưa chốt</t>
        </is>
      </c>
      <c r="B12" s="15" t="inlineStr">
        <is>
          <t>Cột "Phạm vi chưa chốt" nêu các gói chờ MT-01, MT-02, MT-W01, MT-W02, MT-W05. Nên lập dự toán tách riêng phần RFP và phần bổ sung khi chào giá.</t>
        </is>
      </c>
    </row>
    <row r="13" ht="14.25" customHeight="1" s="65">
      <c r="A13" s="12" t="inlineStr">
        <is>
          <t>Lưu ý</t>
        </is>
      </c>
      <c r="B13" s="15" t="inlineStr">
        <is>
          <t>Dự toán chỉ gồm chi phí nhân công Bên B. Hạ tầng, bản quyền, cổng thanh toán, đi lại… chưa có trong biểu mẫu (xem GIA_DINH).</t>
        </is>
      </c>
    </row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65" min="1" max="1"/>
    <col width="26" customWidth="1" style="65" min="2" max="2"/>
    <col width="40" customWidth="1" style="65" min="3" max="4"/>
    <col width="8.57" customWidth="1" style="65" min="5" max="25"/>
  </cols>
  <sheetData>
    <row r="1" ht="14.25" customHeight="1" s="65">
      <c r="A1" s="2" t="inlineStr">
        <is>
          <t>Đơn giá ngày công theo vai trò và tham số</t>
        </is>
      </c>
    </row>
    <row r="2" ht="14.25" customHeight="1" s="65"/>
    <row r="3" ht="14.25" customHeight="1" s="65">
      <c r="A3" s="20" t="inlineStr">
        <is>
          <t>Vai trò</t>
        </is>
      </c>
      <c r="B3" s="20" t="inlineStr">
        <is>
          <t>Đơn giá ngày công (VNĐ/giờ)</t>
        </is>
      </c>
      <c r="C3" s="20" t="inlineStr">
        <is>
          <t>Nguồn đơn giá</t>
        </is>
      </c>
      <c r="D3" s="20" t="inlineStr">
        <is>
          <t>Ghi chú</t>
        </is>
      </c>
    </row>
    <row r="4" ht="14.25" customHeight="1" s="65">
      <c r="A4" s="33" t="inlineStr">
        <is>
          <t>Quản lý dự án</t>
        </is>
      </c>
      <c r="B4" s="7" t="n">
        <v>300000</v>
      </c>
      <c r="C4" s="9" t="inlineStr">
        <is>
          <t>HSDT</t>
        </is>
      </c>
      <c r="D4" s="13" t="n"/>
    </row>
    <row r="5" ht="14.25" customHeight="1" s="65">
      <c r="A5" s="33" t="inlineStr">
        <is>
          <t>Kiến trúc hệ thống</t>
        </is>
      </c>
      <c r="B5" s="7" t="n">
        <v>280000</v>
      </c>
      <c r="C5" s="9" t="inlineStr">
        <is>
          <t>HSDT</t>
        </is>
      </c>
      <c r="D5" s="13" t="n"/>
    </row>
    <row r="6" ht="14.25" customHeight="1" s="65">
      <c r="A6" s="33" t="inlineStr">
        <is>
          <t>Phân tích nghiệp vụ</t>
        </is>
      </c>
      <c r="B6" s="7" t="n">
        <v>250000</v>
      </c>
      <c r="C6" s="9" t="inlineStr">
        <is>
          <t>HSDT</t>
        </is>
      </c>
      <c r="D6" s="13" t="n"/>
    </row>
    <row r="7" ht="14.25" customHeight="1" s="65">
      <c r="A7" s="33" t="inlineStr">
        <is>
          <t>Thiết kế giao diện</t>
        </is>
      </c>
      <c r="B7" s="7" t="n">
        <v>220000</v>
      </c>
      <c r="C7" s="9" t="inlineStr">
        <is>
          <t>HSDT</t>
        </is>
      </c>
      <c r="D7" s="13" t="n"/>
    </row>
    <row r="8" ht="14.25" customHeight="1" s="65">
      <c r="A8" s="33" t="inlineStr">
        <is>
          <t>Lập trình</t>
        </is>
      </c>
      <c r="B8" s="7" t="n">
        <v>200000</v>
      </c>
      <c r="C8" s="9" t="inlineStr">
        <is>
          <t>HSDT</t>
        </is>
      </c>
      <c r="D8" s="13" t="n"/>
    </row>
    <row r="9" ht="14.25" customHeight="1" s="65">
      <c r="A9" s="33" t="inlineStr">
        <is>
          <t>Kiểm thử</t>
        </is>
      </c>
      <c r="B9" s="7" t="n">
        <v>180000</v>
      </c>
      <c r="C9" s="9" t="inlineStr">
        <is>
          <t>HSDT</t>
        </is>
      </c>
      <c r="D9" s="13" t="n"/>
    </row>
    <row r="10" ht="14.25" customHeight="1" s="65">
      <c r="A10" s="33" t="inlineStr">
        <is>
          <t>Hạ tầng và vận hành</t>
        </is>
      </c>
      <c r="B10" s="7" t="n">
        <v>180000</v>
      </c>
      <c r="C10" s="9" t="inlineStr">
        <is>
          <t>HSDT</t>
        </is>
      </c>
      <c r="D10" s="13" t="n"/>
    </row>
    <row r="11" ht="14.25" customHeight="1" s="65"/>
    <row r="12" ht="14.25" customHeight="1" s="65"/>
    <row r="13" ht="14.25" customHeight="1" s="65"/>
    <row r="14" ht="14.25" customHeight="1" s="65"/>
    <row r="15" ht="14.25" customHeight="1" s="65"/>
    <row r="16" ht="14.25" customHeight="1" s="65"/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4.43" defaultRowHeight="15" customHeight="1"/>
  <cols>
    <col width="8" customWidth="1" style="65" min="1" max="1"/>
    <col width="58" customWidth="1" style="65" min="2" max="2"/>
    <col width="8" customWidth="1" style="65" min="3" max="9"/>
    <col width="12" customWidth="1" style="65" min="10" max="10"/>
    <col width="20" customWidth="1" style="65" min="11" max="11"/>
    <col width="30" customWidth="1" style="65" min="12" max="12"/>
    <col width="8.57" customWidth="1" style="65" min="13" max="26"/>
  </cols>
  <sheetData>
    <row r="1" ht="14.25" customHeight="1" s="65">
      <c r="A1" s="2" t="inlineStr">
        <is>
          <t>Ngày công theo gói WBS cấp 2</t>
        </is>
      </c>
    </row>
    <row r="2" ht="14.25" customHeight="1" s="65"/>
    <row r="3" ht="14.25" customHeight="1" s="65">
      <c r="A3" s="20" t="inlineStr">
        <is>
          <t>Mã WBS</t>
        </is>
      </c>
      <c r="B3" s="20" t="inlineStr">
        <is>
          <t>Gói công việc</t>
        </is>
      </c>
      <c r="C3" s="20" t="inlineStr">
        <is>
          <t>PM</t>
        </is>
      </c>
      <c r="D3" s="20" t="inlineStr">
        <is>
          <t>SA</t>
        </is>
      </c>
      <c r="E3" s="20" t="inlineStr">
        <is>
          <t>BA</t>
        </is>
      </c>
      <c r="F3" s="20" t="inlineStr">
        <is>
          <t>UX</t>
        </is>
      </c>
      <c r="G3" s="20" t="inlineStr">
        <is>
          <t>DEV</t>
        </is>
      </c>
      <c r="H3" s="20" t="inlineStr">
        <is>
          <t>QA</t>
        </is>
      </c>
      <c r="I3" s="20" t="inlineStr">
        <is>
          <t>OPS</t>
        </is>
      </c>
      <c r="J3" s="20" t="inlineStr">
        <is>
          <t>Tổng ngày công</t>
        </is>
      </c>
      <c r="K3" s="20" t="inlineStr">
        <is>
          <t>Chi phí nhân công (VNĐ)</t>
        </is>
      </c>
      <c r="L3" s="20" t="inlineStr">
        <is>
          <t>Ghi chú</t>
        </is>
      </c>
    </row>
    <row r="4" ht="14.25" customHeight="1" s="65">
      <c r="A4" s="6" t="inlineStr">
        <is>
          <t>1</t>
        </is>
      </c>
      <c r="B4" s="11" t="inlineStr">
        <is>
          <t>Quản lý dự án</t>
        </is>
      </c>
      <c r="C4" s="17">
        <f>SUM(C5,C6,C7,C8)</f>
        <v/>
      </c>
      <c r="D4" s="17">
        <f>SUM(D5,D6,D7,D8)</f>
        <v/>
      </c>
      <c r="E4" s="17">
        <f>SUM(E5,E6,E7,E8)</f>
        <v/>
      </c>
      <c r="F4" s="17">
        <f>SUM(F5,F6,F7,F8)</f>
        <v/>
      </c>
      <c r="G4" s="17">
        <f>SUM(G5,G6,G7,G8)</f>
        <v/>
      </c>
      <c r="H4" s="17">
        <f>SUM(H5,H6,H7,H8)</f>
        <v/>
      </c>
      <c r="I4" s="17">
        <f>SUM(I5,I6,I7,I8)</f>
        <v/>
      </c>
      <c r="J4" s="17">
        <f>IF(COUNT(C4:I4)=0,"&lt;&lt;THIẾU&gt;&gt;",SUM(C4:I4))</f>
        <v/>
      </c>
      <c r="K4" s="26">
        <f>IF(COUNT(C4:I4)=0,"&lt;&lt;THIẾU&gt;&gt;",IF(COUNT('Đơn giá'!$B$4:$B$10)&lt;7,"&lt;&lt;THIẾU: đơn giá&gt;&gt;",N(C4)*'Đơn giá'!$B$4+N(D4)*'Đơn giá'!$B$5+N(E4)*'Đơn giá'!$B$6+N(F4)*'Đơn giá'!$B$7+N(G4)*'Đơn giá'!$B$8+N(H4)*'Đơn giá'!$B$9+N(I4)*'Đơn giá'!$B$10))</f>
        <v/>
      </c>
      <c r="L4" s="11" t="n"/>
    </row>
    <row r="5" ht="14.25" customHeight="1" s="65">
      <c r="A5" s="28" t="inlineStr">
        <is>
          <t>1.1</t>
        </is>
      </c>
      <c r="B5" s="50" t="inlineStr">
        <is>
          <t xml:space="preserve">   Khởi động dự án</t>
        </is>
      </c>
      <c r="C5" s="35" t="n">
        <v>12</v>
      </c>
      <c r="D5" s="35" t="n">
        <v>4</v>
      </c>
      <c r="E5" s="35" t="n">
        <v>4</v>
      </c>
      <c r="F5" s="35" t="n">
        <v>4</v>
      </c>
      <c r="G5" s="35" t="n">
        <v>4</v>
      </c>
      <c r="H5" s="35" t="n">
        <v>4</v>
      </c>
      <c r="I5" s="35" t="n">
        <v>2</v>
      </c>
      <c r="J5" s="31">
        <f>IF(COUNT(C5:I5)=0,"&lt;&lt;THIẾU&gt;&gt;",SUM(C5:I5))</f>
        <v/>
      </c>
      <c r="K5" s="34">
        <f>IF(COUNT(C5:I5)=0,"&lt;&lt;THIẾU&gt;&gt;",IF(COUNT('Đơn giá'!$B$4:$B$10)&lt;7,"&lt;&lt;THIẾU: đơn giá&gt;&gt;",N(C5)*'Đơn giá'!$B$4+N(D5)*'Đơn giá'!$B$5+N(E5)*'Đơn giá'!$B$6+N(F5)*'Đơn giá'!$B$7+N(G5)*'Đơn giá'!$B$8+N(H5)*'Đơn giá'!$B$9+N(I5)*'Đơn giá'!$B$10))</f>
        <v/>
      </c>
      <c r="L5" s="50" t="n"/>
    </row>
    <row r="6" ht="14.25" customHeight="1" s="65">
      <c r="A6" s="28" t="inlineStr">
        <is>
          <t>1.2</t>
        </is>
      </c>
      <c r="B6" s="50" t="inlineStr">
        <is>
          <t xml:space="preserve">   Lập kế hoạch dự án</t>
        </is>
      </c>
      <c r="C6" s="35" t="n">
        <v>16</v>
      </c>
      <c r="D6" s="35" t="n">
        <v>8</v>
      </c>
      <c r="E6" s="35" t="n">
        <v>8</v>
      </c>
      <c r="F6" s="35" t="n">
        <v>8</v>
      </c>
      <c r="G6" s="35" t="n">
        <v>8</v>
      </c>
      <c r="H6" s="35" t="n">
        <v>8</v>
      </c>
      <c r="I6" s="35" t="n"/>
      <c r="J6" s="31">
        <f>IF(COUNT(C6:I6)=0,"&lt;&lt;THIẾU&gt;&gt;",SUM(C6:I6))</f>
        <v/>
      </c>
      <c r="K6" s="34">
        <f>IF(COUNT(C6:I6)=0,"&lt;&lt;THIẾU&gt;&gt;",IF(COUNT('Đơn giá'!$B$4:$B$10)&lt;7,"&lt;&lt;THIẾU: đơn giá&gt;&gt;",N(C6)*'Đơn giá'!$B$4+N(D6)*'Đơn giá'!$B$5+N(E6)*'Đơn giá'!$B$6+N(F6)*'Đơn giá'!$B$7+N(G6)*'Đơn giá'!$B$8+N(H6)*'Đơn giá'!$B$9+N(I6)*'Đơn giá'!$B$10))</f>
        <v/>
      </c>
      <c r="L6" s="50" t="n"/>
    </row>
    <row r="7" ht="14.25" customHeight="1" s="65">
      <c r="A7" s="28" t="inlineStr">
        <is>
          <t>1.3</t>
        </is>
      </c>
      <c r="B7" s="50" t="inlineStr">
        <is>
          <t xml:space="preserve">   Giám sát và kiểm soát</t>
        </is>
      </c>
      <c r="C7" s="35" t="n">
        <v>140</v>
      </c>
      <c r="D7" s="35" t="n"/>
      <c r="E7" s="35" t="n">
        <v>12</v>
      </c>
      <c r="F7" s="35" t="n"/>
      <c r="G7" s="35" t="n"/>
      <c r="H7" s="35" t="n"/>
      <c r="I7" s="35" t="n"/>
      <c r="J7" s="31">
        <f>IF(COUNT(C7:I7)=0,"&lt;&lt;THIẾU&gt;&gt;",SUM(C7:I7))</f>
        <v/>
      </c>
      <c r="K7" s="34">
        <f>IF(COUNT(C7:I7)=0,"&lt;&lt;THIẾU&gt;&gt;",IF(COUNT('Đơn giá'!$B$4:$B$10)&lt;7,"&lt;&lt;THIẾU: đơn giá&gt;&gt;",N(C7)*'Đơn giá'!$B$4+N(D7)*'Đơn giá'!$B$5+N(E7)*'Đơn giá'!$B$6+N(F7)*'Đơn giá'!$B$7+N(G7)*'Đơn giá'!$B$8+N(H7)*'Đơn giá'!$B$9+N(I7)*'Đơn giá'!$B$10))</f>
        <v/>
      </c>
      <c r="L7" s="50" t="n"/>
    </row>
    <row r="8" ht="14.25" customHeight="1" s="65">
      <c r="A8" s="28" t="inlineStr">
        <is>
          <t>1.4</t>
        </is>
      </c>
      <c r="B8" s="50" t="inlineStr">
        <is>
          <t xml:space="preserve">   Kết thúc dự án</t>
        </is>
      </c>
      <c r="C8" s="35" t="n">
        <v>40</v>
      </c>
      <c r="D8" s="35" t="n"/>
      <c r="E8" s="35" t="n"/>
      <c r="F8" s="35" t="n"/>
      <c r="G8" s="35" t="n"/>
      <c r="H8" s="35" t="n"/>
      <c r="I8" s="35" t="n"/>
      <c r="J8" s="31">
        <f>IF(COUNT(C8:I8)=0,"&lt;&lt;THIẾU&gt;&gt;",SUM(C8:I8))</f>
        <v/>
      </c>
      <c r="K8" s="34">
        <f>IF(COUNT(C8:I8)=0,"&lt;&lt;THIẾU&gt;&gt;",IF(COUNT('Đơn giá'!$B$4:$B$10)&lt;7,"&lt;&lt;THIẾU: đơn giá&gt;&gt;",N(C8)*'Đơn giá'!$B$4+N(D8)*'Đơn giá'!$B$5+N(E8)*'Đơn giá'!$B$6+N(F8)*'Đơn giá'!$B$7+N(G8)*'Đơn giá'!$B$8+N(H8)*'Đơn giá'!$B$9+N(I8)*'Đơn giá'!$B$10))</f>
        <v/>
      </c>
      <c r="L8" s="50" t="n"/>
    </row>
    <row r="9" ht="14.25" customHeight="1" s="65">
      <c r="A9" s="6" t="inlineStr">
        <is>
          <t>2</t>
        </is>
      </c>
      <c r="B9" s="11" t="inlineStr">
        <is>
          <t>Phân tích hệ thống (System Analysis)</t>
        </is>
      </c>
      <c r="C9" s="17">
        <f>SUM(C10,C11,C12,C13,C14)</f>
        <v/>
      </c>
      <c r="D9" s="17">
        <f>SUM(D10,D11,D12,D13,D14)</f>
        <v/>
      </c>
      <c r="E9" s="17">
        <f>SUM(E10,E11,E12,E13,E14)</f>
        <v/>
      </c>
      <c r="F9" s="17">
        <f>SUM(F10,F11,F12,F13,F14)</f>
        <v/>
      </c>
      <c r="G9" s="17">
        <f>SUM(G10,G11,G12,G13,G14)</f>
        <v/>
      </c>
      <c r="H9" s="17">
        <f>SUM(H10,H11,H12,H13,H14)</f>
        <v/>
      </c>
      <c r="I9" s="17">
        <f>SUM(I10,I11,I12,I13,I14)</f>
        <v/>
      </c>
      <c r="J9" s="17">
        <f>IF(COUNT(C9:I9)=0,"&lt;&lt;THIẾU&gt;&gt;",SUM(C9:I9))</f>
        <v/>
      </c>
      <c r="K9" s="26">
        <f>IF(COUNT(C9:I9)=0,"&lt;&lt;THIẾU&gt;&gt;",IF(COUNT('Đơn giá'!$B$4:$B$10)&lt;7,"&lt;&lt;THIẾU: đơn giá&gt;&gt;",N(C9)*'Đơn giá'!$B$4+N(D9)*'Đơn giá'!$B$5+N(E9)*'Đơn giá'!$B$6+N(F9)*'Đơn giá'!$B$7+N(G9)*'Đơn giá'!$B$8+N(H9)*'Đơn giá'!$B$9+N(I9)*'Đơn giá'!$B$10))</f>
        <v/>
      </c>
      <c r="L9" s="11" t="n"/>
    </row>
    <row r="10" ht="14.25" customHeight="1" s="65">
      <c r="A10" s="28" t="inlineStr">
        <is>
          <t>2.1</t>
        </is>
      </c>
      <c r="B10" s="50" t="inlineStr">
        <is>
          <t xml:space="preserve">   Khảo sát hiện trạng (AS-IS)</t>
        </is>
      </c>
      <c r="C10" s="35" t="n"/>
      <c r="D10" s="35" t="n"/>
      <c r="E10" s="35" t="n">
        <v>60</v>
      </c>
      <c r="F10" s="35" t="n">
        <v>8</v>
      </c>
      <c r="G10" s="35" t="n"/>
      <c r="H10" s="35" t="n"/>
      <c r="I10" s="35" t="n"/>
      <c r="J10" s="31">
        <f>IF(COUNT(C10:I10)=0,"&lt;&lt;THIẾU&gt;&gt;",SUM(C10:I10))</f>
        <v/>
      </c>
      <c r="K10" s="34">
        <f>IF(COUNT(C10:I10)=0,"&lt;&lt;THIẾU&gt;&gt;",IF(COUNT('Đơn giá'!$B$4:$B$10)&lt;7,"&lt;&lt;THIẾU: đơn giá&gt;&gt;",N(C10)*'Đơn giá'!$B$4+N(D10)*'Đơn giá'!$B$5+N(E10)*'Đơn giá'!$B$6+N(F10)*'Đơn giá'!$B$7+N(G10)*'Đơn giá'!$B$8+N(H10)*'Đơn giá'!$B$9+N(I10)*'Đơn giá'!$B$10))</f>
        <v/>
      </c>
      <c r="L10" s="50" t="n"/>
    </row>
    <row r="11" ht="14.25" customHeight="1" s="65">
      <c r="A11" s="28" t="inlineStr">
        <is>
          <t>2.2</t>
        </is>
      </c>
      <c r="B11" s="50" t="inlineStr">
        <is>
          <t xml:space="preserve">   Đặc tả yêu cầu chức năng (Specification – RFP tr.4)</t>
        </is>
      </c>
      <c r="C11" s="35" t="n"/>
      <c r="D11" s="35" t="n"/>
      <c r="E11" s="35" t="n">
        <v>80</v>
      </c>
      <c r="F11" s="35" t="n">
        <v>16</v>
      </c>
      <c r="G11" s="35" t="n"/>
      <c r="H11" s="35" t="n"/>
      <c r="I11" s="35" t="n"/>
      <c r="J11" s="31">
        <f>IF(COUNT(C11:I11)=0,"&lt;&lt;THIẾU&gt;&gt;",SUM(C11:I11))</f>
        <v/>
      </c>
      <c r="K11" s="34">
        <f>IF(COUNT(C11:I11)=0,"&lt;&lt;THIẾU&gt;&gt;",IF(COUNT('Đơn giá'!$B$4:$B$10)&lt;7,"&lt;&lt;THIẾU: đơn giá&gt;&gt;",N(C11)*'Đơn giá'!$B$4+N(D11)*'Đơn giá'!$B$5+N(E11)*'Đơn giá'!$B$6+N(F11)*'Đơn giá'!$B$7+N(G11)*'Đơn giá'!$B$8+N(H11)*'Đơn giá'!$B$9+N(I11)*'Đơn giá'!$B$10))</f>
        <v/>
      </c>
      <c r="L11" s="50" t="n"/>
    </row>
    <row r="12" ht="14.25" customHeight="1" s="65">
      <c r="A12" s="28" t="inlineStr">
        <is>
          <t>2.3</t>
        </is>
      </c>
      <c r="B12" s="50" t="inlineStr">
        <is>
          <t xml:space="preserve">   Đặc tả yêu cầu phi chức năng (24 giờ/365 ngày, phản hồi trong 2 giây – RFP tr.2 ②)</t>
        </is>
      </c>
      <c r="C12" s="35" t="n"/>
      <c r="D12" s="35" t="n">
        <v>16</v>
      </c>
      <c r="E12" s="35" t="n">
        <v>24</v>
      </c>
      <c r="F12" s="35" t="n"/>
      <c r="G12" s="35" t="n"/>
      <c r="H12" s="35" t="n"/>
      <c r="I12" s="35" t="n"/>
      <c r="J12" s="31">
        <f>IF(COUNT(C12:I12)=0,"&lt;&lt;THIẾU&gt;&gt;",SUM(C12:I12))</f>
        <v/>
      </c>
      <c r="K12" s="34">
        <f>IF(COUNT(C12:I12)=0,"&lt;&lt;THIẾU&gt;&gt;",IF(COUNT('Đơn giá'!$B$4:$B$10)&lt;7,"&lt;&lt;THIẾU: đơn giá&gt;&gt;",N(C12)*'Đơn giá'!$B$4+N(D12)*'Đơn giá'!$B$5+N(E12)*'Đơn giá'!$B$6+N(F12)*'Đơn giá'!$B$7+N(G12)*'Đơn giá'!$B$8+N(H12)*'Đơn giá'!$B$9+N(I12)*'Đơn giá'!$B$10))</f>
        <v/>
      </c>
      <c r="L12" s="50" t="n"/>
    </row>
    <row r="13" ht="14.25" customHeight="1" s="65">
      <c r="A13" s="28" t="inlineStr">
        <is>
          <t>2.4</t>
        </is>
      </c>
      <c r="B13" s="50" t="inlineStr">
        <is>
          <t xml:space="preserve">   Luồng nghiệp vụ (New Operational Flow – RFP tr.4)</t>
        </is>
      </c>
      <c r="C13" s="35" t="n"/>
      <c r="D13" s="35" t="n"/>
      <c r="E13" s="35" t="n">
        <v>48</v>
      </c>
      <c r="F13" s="35" t="n">
        <v>16</v>
      </c>
      <c r="G13" s="35" t="n"/>
      <c r="H13" s="35" t="n"/>
      <c r="I13" s="35" t="n"/>
      <c r="J13" s="31">
        <f>IF(COUNT(C13:I13)=0,"&lt;&lt;THIẾU&gt;&gt;",SUM(C13:I13))</f>
        <v/>
      </c>
      <c r="K13" s="34">
        <f>IF(COUNT(C13:I13)=0,"&lt;&lt;THIẾU&gt;&gt;",IF(COUNT('Đơn giá'!$B$4:$B$10)&lt;7,"&lt;&lt;THIẾU: đơn giá&gt;&gt;",N(C13)*'Đơn giá'!$B$4+N(D13)*'Đơn giá'!$B$5+N(E13)*'Đơn giá'!$B$6+N(F13)*'Đơn giá'!$B$7+N(G13)*'Đơn giá'!$B$8+N(H13)*'Đơn giá'!$B$9+N(I13)*'Đơn giá'!$B$10))</f>
        <v/>
      </c>
      <c r="L13" s="50" t="n"/>
    </row>
    <row r="14" ht="14.25" customHeight="1" s="65">
      <c r="A14" s="28" t="inlineStr">
        <is>
          <t>2.5</t>
        </is>
      </c>
      <c r="B14" s="50" t="inlineStr">
        <is>
          <t xml:space="preserve">   Trình phê duyệt SRS (M1)</t>
        </is>
      </c>
      <c r="C14" s="35" t="n">
        <v>16</v>
      </c>
      <c r="D14" s="35" t="n"/>
      <c r="E14" s="35" t="n">
        <v>8</v>
      </c>
      <c r="F14" s="35" t="n"/>
      <c r="G14" s="35" t="n"/>
      <c r="H14" s="35" t="n"/>
      <c r="I14" s="35" t="n"/>
      <c r="J14" s="31">
        <f>IF(COUNT(C14:I14)=0,"&lt;&lt;THIẾU&gt;&gt;",SUM(C14:I14))</f>
        <v/>
      </c>
      <c r="K14" s="34">
        <f>IF(COUNT(C14:I14)=0,"&lt;&lt;THIẾU&gt;&gt;",IF(COUNT('Đơn giá'!$B$4:$B$10)&lt;7,"&lt;&lt;THIẾU: đơn giá&gt;&gt;",N(C14)*'Đơn giá'!$B$4+N(D14)*'Đơn giá'!$B$5+N(E14)*'Đơn giá'!$B$6+N(F14)*'Đơn giá'!$B$7+N(G14)*'Đơn giá'!$B$8+N(H14)*'Đơn giá'!$B$9+N(I14)*'Đơn giá'!$B$10))</f>
        <v/>
      </c>
      <c r="L14" s="50" t="n"/>
    </row>
    <row r="15" ht="14.25" customHeight="1" s="65">
      <c r="A15" s="6" t="inlineStr">
        <is>
          <t>3</t>
        </is>
      </c>
      <c r="B15" s="11" t="inlineStr">
        <is>
          <t>Thiết kế hệ thống</t>
        </is>
      </c>
      <c r="C15" s="17">
        <f>SUM(C16,C17,C18,C19,C20,C21)</f>
        <v/>
      </c>
      <c r="D15" s="17">
        <f>SUM(D16,D17,D18,D19,D20,D21)</f>
        <v/>
      </c>
      <c r="E15" s="17">
        <f>SUM(E16,E17,E18,E19,E20,E21)</f>
        <v/>
      </c>
      <c r="F15" s="17">
        <f>SUM(F16,F17,F18,F19,F20,F21)</f>
        <v/>
      </c>
      <c r="G15" s="17">
        <f>SUM(G16,G17,G18,G19,G20,G21)</f>
        <v/>
      </c>
      <c r="H15" s="17">
        <f>SUM(H16,H17,H18,H19,H20,H21)</f>
        <v/>
      </c>
      <c r="I15" s="17">
        <f>SUM(I16,I17,I18,I19,I20,I21)</f>
        <v/>
      </c>
      <c r="J15" s="17">
        <f>IF(COUNT(C15:I15)=0,"&lt;&lt;THIẾU&gt;&gt;",SUM(C15:I15))</f>
        <v/>
      </c>
      <c r="K15" s="26">
        <f>IF(COUNT(C15:I15)=0,"&lt;&lt;THIẾU&gt;&gt;",IF(COUNT('Đơn giá'!$B$4:$B$10)&lt;7,"&lt;&lt;THIẾU: đơn giá&gt;&gt;",N(C15)*'Đơn giá'!$B$4+N(D15)*'Đơn giá'!$B$5+N(E15)*'Đơn giá'!$B$6+N(F15)*'Đơn giá'!$B$7+N(G15)*'Đơn giá'!$B$8+N(H15)*'Đơn giá'!$B$9+N(I15)*'Đơn giá'!$B$10))</f>
        <v/>
      </c>
      <c r="L15" s="11" t="n"/>
    </row>
    <row r="16" ht="14.25" customHeight="1" s="65">
      <c r="A16" s="28" t="inlineStr">
        <is>
          <t>3.1</t>
        </is>
      </c>
      <c r="B16" s="50" t="inlineStr">
        <is>
          <t xml:space="preserve">   Thiết kế kiến trúc (HLD)</t>
        </is>
      </c>
      <c r="C16" s="35" t="n"/>
      <c r="D16" s="35" t="n">
        <v>56</v>
      </c>
      <c r="E16" s="35" t="n"/>
      <c r="F16" s="35" t="n"/>
      <c r="G16" s="35" t="n"/>
      <c r="H16" s="35" t="n"/>
      <c r="I16" s="35" t="n"/>
      <c r="J16" s="31">
        <f>IF(COUNT(C16:I16)=0,"&lt;&lt;THIẾU&gt;&gt;",SUM(C16:I16))</f>
        <v/>
      </c>
      <c r="K16" s="34">
        <f>IF(COUNT(C16:I16)=0,"&lt;&lt;THIẾU&gt;&gt;",IF(COUNT('Đơn giá'!$B$4:$B$10)&lt;7,"&lt;&lt;THIẾU: đơn giá&gt;&gt;",N(C16)*'Đơn giá'!$B$4+N(D16)*'Đơn giá'!$B$5+N(E16)*'Đơn giá'!$B$6+N(F16)*'Đơn giá'!$B$7+N(G16)*'Đơn giá'!$B$8+N(H16)*'Đơn giá'!$B$9+N(I16)*'Đơn giá'!$B$10))</f>
        <v/>
      </c>
      <c r="L16" s="50" t="n"/>
    </row>
    <row r="17" ht="14.25" customHeight="1" s="65">
      <c r="A17" s="28" t="inlineStr">
        <is>
          <t>3.2</t>
        </is>
      </c>
      <c r="B17" s="50" t="inlineStr">
        <is>
          <t xml:space="preserve">   Thiết kế cơ sở dữ liệu (Database Structure – RFP tr.5)</t>
        </is>
      </c>
      <c r="C17" s="35" t="n"/>
      <c r="D17" s="35" t="n">
        <v>12</v>
      </c>
      <c r="E17" s="35" t="n">
        <v>4</v>
      </c>
      <c r="F17" s="35" t="n"/>
      <c r="G17" s="35" t="n"/>
      <c r="H17" s="35" t="n"/>
      <c r="I17" s="35" t="n"/>
      <c r="J17" s="31">
        <f>IF(COUNT(C17:I17)=0,"&lt;&lt;THIẾU&gt;&gt;",SUM(C17:I17))</f>
        <v/>
      </c>
      <c r="K17" s="34">
        <f>IF(COUNT(C17:I17)=0,"&lt;&lt;THIẾU&gt;&gt;",IF(COUNT('Đơn giá'!$B$4:$B$10)&lt;7,"&lt;&lt;THIẾU: đơn giá&gt;&gt;",N(C17)*'Đơn giá'!$B$4+N(D17)*'Đơn giá'!$B$5+N(E17)*'Đơn giá'!$B$6+N(F17)*'Đơn giá'!$B$7+N(G17)*'Đơn giá'!$B$8+N(H17)*'Đơn giá'!$B$9+N(I17)*'Đơn giá'!$B$10))</f>
        <v/>
      </c>
      <c r="L17" s="50" t="n"/>
    </row>
    <row r="18" ht="14.25" customHeight="1" s="65">
      <c r="A18" s="28" t="inlineStr">
        <is>
          <t>3.3</t>
        </is>
      </c>
      <c r="B18" s="50" t="inlineStr">
        <is>
          <t xml:space="preserve">   Thiết kế giao diện phía khách hàng</t>
        </is>
      </c>
      <c r="C18" s="35" t="n"/>
      <c r="D18" s="35" t="n"/>
      <c r="E18" s="35" t="n">
        <v>16</v>
      </c>
      <c r="F18" s="35" t="n">
        <v>160</v>
      </c>
      <c r="G18" s="35" t="n"/>
      <c r="H18" s="35" t="n"/>
      <c r="I18" s="35" t="n"/>
      <c r="J18" s="31">
        <f>IF(COUNT(C18:I18)=0,"&lt;&lt;THIẾU&gt;&gt;",SUM(C18:I18))</f>
        <v/>
      </c>
      <c r="K18" s="34">
        <f>IF(COUNT(C18:I18)=0,"&lt;&lt;THIẾU&gt;&gt;",IF(COUNT('Đơn giá'!$B$4:$B$10)&lt;7,"&lt;&lt;THIẾU: đơn giá&gt;&gt;",N(C18)*'Đơn giá'!$B$4+N(D18)*'Đơn giá'!$B$5+N(E18)*'Đơn giá'!$B$6+N(F18)*'Đơn giá'!$B$7+N(G18)*'Đơn giá'!$B$8+N(H18)*'Đơn giá'!$B$9+N(I18)*'Đơn giá'!$B$10))</f>
        <v/>
      </c>
      <c r="L18" s="50" t="n"/>
    </row>
    <row r="19" ht="14.25" customHeight="1" s="65">
      <c r="A19" s="28" t="inlineStr">
        <is>
          <t>3.4</t>
        </is>
      </c>
      <c r="B19" s="50" t="inlineStr">
        <is>
          <t xml:space="preserve">   Thiết kế tích hợp hệ thống</t>
        </is>
      </c>
      <c r="C19" s="35" t="n"/>
      <c r="D19" s="35" t="n">
        <v>36</v>
      </c>
      <c r="E19" s="35" t="n">
        <v>6</v>
      </c>
      <c r="F19" s="35" t="n"/>
      <c r="G19" s="35" t="n"/>
      <c r="H19" s="35" t="n"/>
      <c r="I19" s="35" t="n"/>
      <c r="J19" s="31">
        <f>IF(COUNT(C19:I19)=0,"&lt;&lt;THIẾU&gt;&gt;",SUM(C19:I19))</f>
        <v/>
      </c>
      <c r="K19" s="34">
        <f>IF(COUNT(C19:I19)=0,"&lt;&lt;THIẾU&gt;&gt;",IF(COUNT('Đơn giá'!$B$4:$B$10)&lt;7,"&lt;&lt;THIẾU: đơn giá&gt;&gt;",N(C19)*'Đơn giá'!$B$4+N(D19)*'Đơn giá'!$B$5+N(E19)*'Đơn giá'!$B$6+N(F19)*'Đơn giá'!$B$7+N(G19)*'Đơn giá'!$B$8+N(H19)*'Đơn giá'!$B$9+N(I19)*'Đơn giá'!$B$10))</f>
        <v/>
      </c>
      <c r="L19" s="50" t="n"/>
    </row>
    <row r="20" ht="14.25" customHeight="1" s="65">
      <c r="A20" s="28" t="inlineStr">
        <is>
          <t>3.5</t>
        </is>
      </c>
      <c r="B20" s="50" t="inlineStr">
        <is>
          <t xml:space="preserve">   Thiết kế chi tiết (LLD)</t>
        </is>
      </c>
      <c r="C20" s="35" t="n"/>
      <c r="D20" s="35" t="n"/>
      <c r="E20" s="35" t="n"/>
      <c r="F20" s="35" t="n"/>
      <c r="G20" s="35" t="n">
        <v>240</v>
      </c>
      <c r="H20" s="35" t="n"/>
      <c r="I20" s="35" t="n"/>
      <c r="J20" s="31">
        <f>IF(COUNT(C20:I20)=0,"&lt;&lt;THIẾU&gt;&gt;",SUM(C20:I20))</f>
        <v/>
      </c>
      <c r="K20" s="34">
        <f>IF(COUNT(C20:I20)=0,"&lt;&lt;THIẾU&gt;&gt;",IF(COUNT('Đơn giá'!$B$4:$B$10)&lt;7,"&lt;&lt;THIẾU: đơn giá&gt;&gt;",N(C20)*'Đơn giá'!$B$4+N(D20)*'Đơn giá'!$B$5+N(E20)*'Đơn giá'!$B$6+N(F20)*'Đơn giá'!$B$7+N(G20)*'Đơn giá'!$B$8+N(H20)*'Đơn giá'!$B$9+N(I20)*'Đơn giá'!$B$10))</f>
        <v/>
      </c>
      <c r="L20" s="50" t="n"/>
    </row>
    <row r="21" ht="14.25" customHeight="1" s="65">
      <c r="A21" s="28" t="inlineStr">
        <is>
          <t>3.6</t>
        </is>
      </c>
      <c r="B21" s="50" t="inlineStr">
        <is>
          <t xml:space="preserve">   Rà soát và phê duyệt thiết kế</t>
        </is>
      </c>
      <c r="C21" s="35" t="n">
        <v>4</v>
      </c>
      <c r="D21" s="35" t="n">
        <v>28</v>
      </c>
      <c r="E21" s="35" t="n"/>
      <c r="F21" s="35" t="n"/>
      <c r="G21" s="35" t="n"/>
      <c r="H21" s="35" t="n"/>
      <c r="I21" s="35" t="n"/>
      <c r="J21" s="31">
        <f>IF(COUNT(C21:I21)=0,"&lt;&lt;THIẾU&gt;&gt;",SUM(C21:I21))</f>
        <v/>
      </c>
      <c r="K21" s="34">
        <f>IF(COUNT(C21:I21)=0,"&lt;&lt;THIẾU&gt;&gt;",IF(COUNT('Đơn giá'!$B$4:$B$10)&lt;7,"&lt;&lt;THIẾU: đơn giá&gt;&gt;",N(C21)*'Đơn giá'!$B$4+N(D21)*'Đơn giá'!$B$5+N(E21)*'Đơn giá'!$B$6+N(F21)*'Đơn giá'!$B$7+N(G21)*'Đơn giá'!$B$8+N(H21)*'Đơn giá'!$B$9+N(I21)*'Đơn giá'!$B$10))</f>
        <v/>
      </c>
      <c r="L21" s="50" t="n"/>
    </row>
    <row r="22" ht="14.25" customHeight="1" s="65">
      <c r="A22" s="6" t="inlineStr">
        <is>
          <t>4</t>
        </is>
      </c>
      <c r="B22" s="11" t="inlineStr">
        <is>
          <t>Xây dựng hệ thống (Construction)</t>
        </is>
      </c>
      <c r="C22" s="17">
        <f>SUM(C23,C24,C25,C26,C27,C28)</f>
        <v/>
      </c>
      <c r="D22" s="17">
        <f>SUM(D23,D24,D25,D26,D27,D28)</f>
        <v/>
      </c>
      <c r="E22" s="17">
        <f>SUM(E23,E24,E25,E26,E27,E28)</f>
        <v/>
      </c>
      <c r="F22" s="17">
        <f>SUM(F23,F24,F25,F26,F27,F28)</f>
        <v/>
      </c>
      <c r="G22" s="17">
        <f>SUM(G23,G24,G25,G26,G27,G28)</f>
        <v/>
      </c>
      <c r="H22" s="17">
        <f>SUM(H23,H24,H25,H26,H27,H28)</f>
        <v/>
      </c>
      <c r="I22" s="17">
        <f>SUM(I23,I24,I25,I26,I27,I28)</f>
        <v/>
      </c>
      <c r="J22" s="17">
        <f>IF(COUNT(C22:I22)=0,"&lt;&lt;THIẾU&gt;&gt;",SUM(C22:I22))</f>
        <v/>
      </c>
      <c r="K22" s="26">
        <f>IF(COUNT(C22:I22)=0,"&lt;&lt;THIẾU&gt;&gt;",IF(COUNT('Đơn giá'!$B$4:$B$10)&lt;7,"&lt;&lt;THIẾU: đơn giá&gt;&gt;",N(C22)*'Đơn giá'!$B$4+N(D22)*'Đơn giá'!$B$5+N(E22)*'Đơn giá'!$B$6+N(F22)*'Đơn giá'!$B$7+N(G22)*'Đơn giá'!$B$8+N(H22)*'Đơn giá'!$B$9+N(I22)*'Đơn giá'!$B$10))</f>
        <v/>
      </c>
      <c r="L22" s="11" t="n"/>
    </row>
    <row r="23" ht="14.25" customHeight="1" s="65">
      <c r="A23" s="28" t="inlineStr">
        <is>
          <t>4.1</t>
        </is>
      </c>
      <c r="B23" s="50" t="inlineStr">
        <is>
          <t xml:space="preserve">   Môi trường và khung ứng dụng</t>
        </is>
      </c>
      <c r="C23" s="35" t="n"/>
      <c r="D23" s="35" t="n"/>
      <c r="E23" s="35" t="n"/>
      <c r="F23" s="35" t="n"/>
      <c r="G23" s="35" t="n">
        <v>156</v>
      </c>
      <c r="H23" s="35" t="n"/>
      <c r="I23" s="35" t="n">
        <v>120</v>
      </c>
      <c r="J23" s="31">
        <f>IF(COUNT(C23:I23)=0,"&lt;&lt;THIẾU&gt;&gt;",SUM(C23:I23))</f>
        <v/>
      </c>
      <c r="K23" s="34">
        <f>IF(COUNT(C23:I23)=0,"&lt;&lt;THIẾU&gt;&gt;",IF(COUNT('Đơn giá'!$B$4:$B$10)&lt;7,"&lt;&lt;THIẾU: đơn giá&gt;&gt;",N(C23)*'Đơn giá'!$B$4+N(D23)*'Đơn giá'!$B$5+N(E23)*'Đơn giá'!$B$6+N(F23)*'Đơn giá'!$B$7+N(G23)*'Đơn giá'!$B$8+N(H23)*'Đơn giá'!$B$9+N(I23)*'Đơn giá'!$B$10))</f>
        <v/>
      </c>
      <c r="L23" s="50" t="n"/>
    </row>
    <row r="24" ht="14.25" customHeight="1" s="65">
      <c r="A24" s="28" t="inlineStr">
        <is>
          <t>4.2</t>
        </is>
      </c>
      <c r="B24" s="50" t="inlineStr">
        <is>
          <t xml:space="preserve">   Chức năng Quản lý khách hàng</t>
        </is>
      </c>
      <c r="C24" s="35" t="n"/>
      <c r="D24" s="35" t="n"/>
      <c r="E24" s="35" t="n">
        <v>12</v>
      </c>
      <c r="F24" s="35" t="n"/>
      <c r="G24" s="35" t="n">
        <v>160</v>
      </c>
      <c r="H24" s="35" t="n"/>
      <c r="I24" s="35" t="n"/>
      <c r="J24" s="31">
        <f>IF(COUNT(C24:I24)=0,"&lt;&lt;THIẾU&gt;&gt;",SUM(C24:I24))</f>
        <v/>
      </c>
      <c r="K24" s="34">
        <f>IF(COUNT(C24:I24)=0,"&lt;&lt;THIẾU&gt;&gt;",IF(COUNT('Đơn giá'!$B$4:$B$10)&lt;7,"&lt;&lt;THIẾU: đơn giá&gt;&gt;",N(C24)*'Đơn giá'!$B$4+N(D24)*'Đơn giá'!$B$5+N(E24)*'Đơn giá'!$B$6+N(F24)*'Đơn giá'!$B$7+N(G24)*'Đơn giá'!$B$8+N(H24)*'Đơn giá'!$B$9+N(I24)*'Đơn giá'!$B$10))</f>
        <v/>
      </c>
      <c r="L24" s="50" t="n"/>
    </row>
    <row r="25" ht="14.25" customHeight="1" s="65">
      <c r="A25" s="28" t="inlineStr">
        <is>
          <t>4.3</t>
        </is>
      </c>
      <c r="B25" s="50" t="inlineStr">
        <is>
          <t xml:space="preserve">   Chức năng Quản lý sản phẩm</t>
        </is>
      </c>
      <c r="C25" s="35" t="n"/>
      <c r="D25" s="35" t="n"/>
      <c r="E25" s="35" t="n">
        <v>12</v>
      </c>
      <c r="F25" s="35" t="n"/>
      <c r="G25" s="35" t="n">
        <v>160</v>
      </c>
      <c r="H25" s="35" t="n"/>
      <c r="I25" s="35" t="n"/>
      <c r="J25" s="31">
        <f>IF(COUNT(C25:I25)=0,"&lt;&lt;THIẾU&gt;&gt;",SUM(C25:I25))</f>
        <v/>
      </c>
      <c r="K25" s="34">
        <f>IF(COUNT(C25:I25)=0,"&lt;&lt;THIẾU&gt;&gt;",IF(COUNT('Đơn giá'!$B$4:$B$10)&lt;7,"&lt;&lt;THIẾU: đơn giá&gt;&gt;",N(C25)*'Đơn giá'!$B$4+N(D25)*'Đơn giá'!$B$5+N(E25)*'Đơn giá'!$B$6+N(F25)*'Đơn giá'!$B$7+N(G25)*'Đơn giá'!$B$8+N(H25)*'Đơn giá'!$B$9+N(I25)*'Đơn giá'!$B$10))</f>
        <v/>
      </c>
      <c r="L25" s="50" t="n"/>
    </row>
    <row r="26" ht="14.25" customHeight="1" s="65">
      <c r="A26" s="28" t="inlineStr">
        <is>
          <t>4.4</t>
        </is>
      </c>
      <c r="B26" s="50" t="inlineStr">
        <is>
          <t xml:space="preserve">   Chức năng Quản lý đơn hàng &amp; thanh toán</t>
        </is>
      </c>
      <c r="C26" s="35" t="n"/>
      <c r="D26" s="35" t="n"/>
      <c r="E26" s="35" t="n">
        <v>12</v>
      </c>
      <c r="F26" s="35" t="n"/>
      <c r="G26" s="35" t="n">
        <v>240</v>
      </c>
      <c r="H26" s="35" t="n"/>
      <c r="I26" s="35" t="n"/>
      <c r="J26" s="31">
        <f>IF(COUNT(C26:I26)=0,"&lt;&lt;THIẾU&gt;&gt;",SUM(C26:I26))</f>
        <v/>
      </c>
      <c r="K26" s="34">
        <f>IF(COUNT(C26:I26)=0,"&lt;&lt;THIẾU&gt;&gt;",IF(COUNT('Đơn giá'!$B$4:$B$10)&lt;7,"&lt;&lt;THIẾU: đơn giá&gt;&gt;",N(C26)*'Đơn giá'!$B$4+N(D26)*'Đơn giá'!$B$5+N(E26)*'Đơn giá'!$B$6+N(F26)*'Đơn giá'!$B$7+N(G26)*'Đơn giá'!$B$8+N(H26)*'Đơn giá'!$B$9+N(I26)*'Đơn giá'!$B$10))</f>
        <v/>
      </c>
      <c r="L26" s="50" t="n"/>
    </row>
    <row r="27" ht="14.25" customHeight="1" s="65">
      <c r="A27" s="28" t="inlineStr">
        <is>
          <t>4.5</t>
        </is>
      </c>
      <c r="B27" s="50" t="inlineStr">
        <is>
          <t xml:space="preserve">   Tích hợp hệ thống</t>
        </is>
      </c>
      <c r="C27" s="35" t="n"/>
      <c r="D27" s="35" t="n"/>
      <c r="E27" s="35" t="n">
        <v>12</v>
      </c>
      <c r="F27" s="35" t="n"/>
      <c r="G27" s="35" t="n">
        <v>480</v>
      </c>
      <c r="H27" s="35" t="n"/>
      <c r="I27" s="35" t="n"/>
      <c r="J27" s="31">
        <f>IF(COUNT(C27:I27)=0,"&lt;&lt;THIẾU&gt;&gt;",SUM(C27:I27))</f>
        <v/>
      </c>
      <c r="K27" s="34">
        <f>IF(COUNT(C27:I27)=0,"&lt;&lt;THIẾU&gt;&gt;",IF(COUNT('Đơn giá'!$B$4:$B$10)&lt;7,"&lt;&lt;THIẾU: đơn giá&gt;&gt;",N(C27)*'Đơn giá'!$B$4+N(D27)*'Đơn giá'!$B$5+N(E27)*'Đơn giá'!$B$6+N(F27)*'Đơn giá'!$B$7+N(G27)*'Đơn giá'!$B$8+N(H27)*'Đơn giá'!$B$9+N(I27)*'Đơn giá'!$B$10))</f>
        <v/>
      </c>
      <c r="L27" s="50" t="n"/>
    </row>
    <row r="28" ht="14.25" customHeight="1" s="65">
      <c r="A28" s="28" t="inlineStr">
        <is>
          <t>4.6</t>
        </is>
      </c>
      <c r="B28" s="50" t="inlineStr">
        <is>
          <t xml:space="preserve">   Kiểm soát chất lượng mã nguồn và phát hành</t>
        </is>
      </c>
      <c r="C28" s="35" t="n"/>
      <c r="D28" s="35" t="n">
        <v>89</v>
      </c>
      <c r="E28" s="35" t="n"/>
      <c r="F28" s="35" t="n"/>
      <c r="G28" s="35" t="n"/>
      <c r="H28" s="35" t="n"/>
      <c r="I28" s="35" t="n"/>
      <c r="J28" s="31">
        <f>IF(COUNT(C28:I28)=0,"&lt;&lt;THIẾU&gt;&gt;",SUM(C28:I28))</f>
        <v/>
      </c>
      <c r="K28" s="34">
        <f>IF(COUNT(C28:I28)=0,"&lt;&lt;THIẾU&gt;&gt;",IF(COUNT('Đơn giá'!$B$4:$B$10)&lt;7,"&lt;&lt;THIẾU: đơn giá&gt;&gt;",N(C28)*'Đơn giá'!$B$4+N(D28)*'Đơn giá'!$B$5+N(E28)*'Đơn giá'!$B$6+N(F28)*'Đơn giá'!$B$7+N(G28)*'Đơn giá'!$B$8+N(H28)*'Đơn giá'!$B$9+N(I28)*'Đơn giá'!$B$10))</f>
        <v/>
      </c>
      <c r="L28" s="50" t="n"/>
    </row>
    <row r="29" ht="14.25" customHeight="1" s="65">
      <c r="A29" s="6" t="inlineStr">
        <is>
          <t>5</t>
        </is>
      </c>
      <c r="B29" s="11" t="inlineStr">
        <is>
          <t>Kiểm thử (Testing)</t>
        </is>
      </c>
      <c r="C29" s="17">
        <f>SUM(C30,C31,C32,C33,C34,C35)</f>
        <v/>
      </c>
      <c r="D29" s="17">
        <f>SUM(D30,D31,D32,D33,D34,D35)</f>
        <v/>
      </c>
      <c r="E29" s="17">
        <f>SUM(E30,E31,E32,E33,E34,E35)</f>
        <v/>
      </c>
      <c r="F29" s="17">
        <f>SUM(F30,F31,F32,F33,F34,F35)</f>
        <v/>
      </c>
      <c r="G29" s="17">
        <f>SUM(G30,G31,G32,G33,G34,G35)</f>
        <v/>
      </c>
      <c r="H29" s="17">
        <f>SUM(H30,H31,H32,H33,H34,H35)</f>
        <v/>
      </c>
      <c r="I29" s="17">
        <f>SUM(I30,I31,I32,I33,I34,I35)</f>
        <v/>
      </c>
      <c r="J29" s="17">
        <f>IF(COUNT(C29:I29)=0,"&lt;&lt;THIẾU&gt;&gt;",SUM(C29:I29))</f>
        <v/>
      </c>
      <c r="K29" s="26">
        <f>IF(COUNT(C29:I29)=0,"&lt;&lt;THIẾU&gt;&gt;",IF(COUNT('Đơn giá'!$B$4:$B$10)&lt;7,"&lt;&lt;THIẾU: đơn giá&gt;&gt;",N(C29)*'Đơn giá'!$B$4+N(D29)*'Đơn giá'!$B$5+N(E29)*'Đơn giá'!$B$6+N(F29)*'Đơn giá'!$B$7+N(G29)*'Đơn giá'!$B$8+N(H29)*'Đơn giá'!$B$9+N(I29)*'Đơn giá'!$B$10))</f>
        <v/>
      </c>
      <c r="L29" s="11" t="n"/>
    </row>
    <row r="30" ht="14.25" customHeight="1" s="65">
      <c r="A30" s="28" t="inlineStr">
        <is>
          <t>5.1</t>
        </is>
      </c>
      <c r="B30" s="50" t="inlineStr">
        <is>
          <t xml:space="preserve">   Chuẩn bị kiểm thử</t>
        </is>
      </c>
      <c r="C30" s="35" t="n"/>
      <c r="D30" s="35" t="n"/>
      <c r="E30" s="35" t="n"/>
      <c r="F30" s="35" t="n"/>
      <c r="G30" s="35" t="n"/>
      <c r="H30" s="35" t="n">
        <v>192</v>
      </c>
      <c r="I30" s="35" t="n"/>
      <c r="J30" s="31">
        <f>IF(COUNT(C30:I30)=0,"&lt;&lt;THIẾU&gt;&gt;",SUM(C30:I30))</f>
        <v/>
      </c>
      <c r="K30" s="34">
        <f>IF(COUNT(C30:I30)=0,"&lt;&lt;THIẾU&gt;&gt;",IF(COUNT('Đơn giá'!$B$4:$B$10)&lt;7,"&lt;&lt;THIẾU: đơn giá&gt;&gt;",N(C30)*'Đơn giá'!$B$4+N(D30)*'Đơn giá'!$B$5+N(E30)*'Đơn giá'!$B$6+N(F30)*'Đơn giá'!$B$7+N(G30)*'Đơn giá'!$B$8+N(H30)*'Đơn giá'!$B$9+N(I30)*'Đơn giá'!$B$10))</f>
        <v/>
      </c>
      <c r="L30" s="50" t="n"/>
    </row>
    <row r="31" ht="14.25" customHeight="1" s="65">
      <c r="A31" s="28" t="inlineStr">
        <is>
          <t>5.2</t>
        </is>
      </c>
      <c r="B31" s="50" t="inlineStr">
        <is>
          <t xml:space="preserve">   Kiểm thử tích hợp hệ thống (SIT)</t>
        </is>
      </c>
      <c r="C31" s="35" t="n"/>
      <c r="D31" s="35" t="n"/>
      <c r="E31" s="35" t="n"/>
      <c r="F31" s="35" t="n"/>
      <c r="G31" s="35" t="n"/>
      <c r="H31" s="35" t="n">
        <v>160</v>
      </c>
      <c r="I31" s="35" t="n"/>
      <c r="J31" s="31">
        <f>IF(COUNT(C31:I31)=0,"&lt;&lt;THIẾU&gt;&gt;",SUM(C31:I31))</f>
        <v/>
      </c>
      <c r="K31" s="34">
        <f>IF(COUNT(C31:I31)=0,"&lt;&lt;THIẾU&gt;&gt;",IF(COUNT('Đơn giá'!$B$4:$B$10)&lt;7,"&lt;&lt;THIẾU: đơn giá&gt;&gt;",N(C31)*'Đơn giá'!$B$4+N(D31)*'Đơn giá'!$B$5+N(E31)*'Đơn giá'!$B$6+N(F31)*'Đơn giá'!$B$7+N(G31)*'Đơn giá'!$B$8+N(H31)*'Đơn giá'!$B$9+N(I31)*'Đơn giá'!$B$10))</f>
        <v/>
      </c>
      <c r="L31" s="50" t="n"/>
    </row>
    <row r="32" ht="14.25" customHeight="1" s="65">
      <c r="A32" s="28" t="inlineStr">
        <is>
          <t>5.3</t>
        </is>
      </c>
      <c r="B32" s="50" t="inlineStr">
        <is>
          <t xml:space="preserve">   Kiểm thử hiệu năng</t>
        </is>
      </c>
      <c r="C32" s="35" t="n"/>
      <c r="D32" s="35" t="n"/>
      <c r="E32" s="35" t="n"/>
      <c r="F32" s="35" t="n"/>
      <c r="G32" s="35" t="n"/>
      <c r="H32" s="35" t="n">
        <v>40</v>
      </c>
      <c r="I32" s="35" t="n"/>
      <c r="J32" s="31">
        <f>IF(COUNT(C32:I32)=0,"&lt;&lt;THIẾU&gt;&gt;",SUM(C32:I32))</f>
        <v/>
      </c>
      <c r="K32" s="34">
        <f>IF(COUNT(C32:I32)=0,"&lt;&lt;THIẾU&gt;&gt;",IF(COUNT('Đơn giá'!$B$4:$B$10)&lt;7,"&lt;&lt;THIẾU: đơn giá&gt;&gt;",N(C32)*'Đơn giá'!$B$4+N(D32)*'Đơn giá'!$B$5+N(E32)*'Đơn giá'!$B$6+N(F32)*'Đơn giá'!$B$7+N(G32)*'Đơn giá'!$B$8+N(H32)*'Đơn giá'!$B$9+N(I32)*'Đơn giá'!$B$10))</f>
        <v/>
      </c>
      <c r="L32" s="50" t="n"/>
    </row>
    <row r="33" ht="14.25" customHeight="1" s="65">
      <c r="A33" s="28" t="inlineStr">
        <is>
          <t>5.4</t>
        </is>
      </c>
      <c r="B33" s="50" t="inlineStr">
        <is>
          <t xml:space="preserve">   Kiểm thử an toàn bảo mật</t>
        </is>
      </c>
      <c r="C33" s="35" t="n"/>
      <c r="D33" s="35" t="n"/>
      <c r="E33" s="35" t="n"/>
      <c r="F33" s="35" t="n"/>
      <c r="G33" s="35" t="n"/>
      <c r="H33" s="35" t="n">
        <v>16</v>
      </c>
      <c r="I33" s="35" t="n"/>
      <c r="J33" s="31">
        <f>IF(COUNT(C33:I33)=0,"&lt;&lt;THIẾU&gt;&gt;",SUM(C33:I33))</f>
        <v/>
      </c>
      <c r="K33" s="34">
        <f>IF(COUNT(C33:I33)=0,"&lt;&lt;THIẾU&gt;&gt;",IF(COUNT('Đơn giá'!$B$4:$B$10)&lt;7,"&lt;&lt;THIẾU: đơn giá&gt;&gt;",N(C33)*'Đơn giá'!$B$4+N(D33)*'Đơn giá'!$B$5+N(E33)*'Đơn giá'!$B$6+N(F33)*'Đơn giá'!$B$7+N(G33)*'Đơn giá'!$B$8+N(H33)*'Đơn giá'!$B$9+N(I33)*'Đơn giá'!$B$10))</f>
        <v/>
      </c>
      <c r="L33" s="50" t="n"/>
    </row>
    <row r="34" ht="14.25" customHeight="1" s="65">
      <c r="A34" s="28" t="inlineStr">
        <is>
          <t>5.5</t>
        </is>
      </c>
      <c r="B34" s="50" t="inlineStr">
        <is>
          <t xml:space="preserve">   Sửa lỗi và kiểm thử hồi quy</t>
        </is>
      </c>
      <c r="C34" s="35" t="n"/>
      <c r="D34" s="35" t="n"/>
      <c r="E34" s="35" t="n"/>
      <c r="F34" s="35" t="n"/>
      <c r="G34" s="35" t="n">
        <v>160</v>
      </c>
      <c r="H34" s="35" t="n">
        <v>40</v>
      </c>
      <c r="I34" s="35" t="n"/>
      <c r="J34" s="31">
        <f>IF(COUNT(C34:I34)=0,"&lt;&lt;THIẾU&gt;&gt;",SUM(C34:I34))</f>
        <v/>
      </c>
      <c r="K34" s="34">
        <f>IF(COUNT(C34:I34)=0,"&lt;&lt;THIẾU&gt;&gt;",IF(COUNT('Đơn giá'!$B$4:$B$10)&lt;7,"&lt;&lt;THIẾU: đơn giá&gt;&gt;",N(C34)*'Đơn giá'!$B$4+N(D34)*'Đơn giá'!$B$5+N(E34)*'Đơn giá'!$B$6+N(F34)*'Đơn giá'!$B$7+N(G34)*'Đơn giá'!$B$8+N(H34)*'Đơn giá'!$B$9+N(I34)*'Đơn giá'!$B$10))</f>
        <v/>
      </c>
      <c r="L34" s="50" t="n"/>
    </row>
    <row r="35" ht="14.25" customHeight="1" s="65">
      <c r="A35" s="28" t="inlineStr">
        <is>
          <t>5.6</t>
        </is>
      </c>
      <c r="B35" s="50" t="inlineStr">
        <is>
          <t xml:space="preserve">   Kiểm thử vận hành (UAT – RFP tr.2)</t>
        </is>
      </c>
      <c r="C35" s="35" t="n"/>
      <c r="D35" s="35" t="n"/>
      <c r="E35" s="35" t="n">
        <v>32</v>
      </c>
      <c r="F35" s="35" t="n"/>
      <c r="G35" s="35" t="n">
        <v>80</v>
      </c>
      <c r="H35" s="35" t="n">
        <v>48</v>
      </c>
      <c r="I35" s="35" t="n"/>
      <c r="J35" s="31">
        <f>IF(COUNT(C35:I35)=0,"&lt;&lt;THIẾU&gt;&gt;",SUM(C35:I35))</f>
        <v/>
      </c>
      <c r="K35" s="34">
        <f>IF(COUNT(C35:I35)=0,"&lt;&lt;THIẾU&gt;&gt;",IF(COUNT('Đơn giá'!$B$4:$B$10)&lt;7,"&lt;&lt;THIẾU: đơn giá&gt;&gt;",N(C35)*'Đơn giá'!$B$4+N(D35)*'Đơn giá'!$B$5+N(E35)*'Đơn giá'!$B$6+N(F35)*'Đơn giá'!$B$7+N(G35)*'Đơn giá'!$B$8+N(H35)*'Đơn giá'!$B$9+N(I35)*'Đơn giá'!$B$10))</f>
        <v/>
      </c>
      <c r="L35" s="50" t="n"/>
    </row>
    <row r="36" ht="14.25" customHeight="1" s="65">
      <c r="A36" s="6" t="inlineStr">
        <is>
          <t>6</t>
        </is>
      </c>
      <c r="B36" s="11" t="inlineStr">
        <is>
          <t>Triển khai và chuyển giao</t>
        </is>
      </c>
      <c r="C36" s="17">
        <f>SUM(C37,C38,C39,C40)</f>
        <v/>
      </c>
      <c r="D36" s="17">
        <f>SUM(D37,D38,D39,D40)</f>
        <v/>
      </c>
      <c r="E36" s="17">
        <f>SUM(E37,E38,E39,E40)</f>
        <v/>
      </c>
      <c r="F36" s="17">
        <f>SUM(F37,F38,F39,F40)</f>
        <v/>
      </c>
      <c r="G36" s="17">
        <f>SUM(G37,G38,G39,G40)</f>
        <v/>
      </c>
      <c r="H36" s="17">
        <f>SUM(H37,H38,H39,H40)</f>
        <v/>
      </c>
      <c r="I36" s="17">
        <f>SUM(I37,I38,I39,I40)</f>
        <v/>
      </c>
      <c r="J36" s="17">
        <f>IF(COUNT(C36:I36)=0,"&lt;&lt;THIẾU&gt;&gt;",SUM(C36:I36))</f>
        <v/>
      </c>
      <c r="K36" s="26">
        <f>IF(COUNT(C36:I36)=0,"&lt;&lt;THIẾU&gt;&gt;",IF(COUNT('Đơn giá'!$B$4:$B$10)&lt;7,"&lt;&lt;THIẾU: đơn giá&gt;&gt;",N(C36)*'Đơn giá'!$B$4+N(D36)*'Đơn giá'!$B$5+N(E36)*'Đơn giá'!$B$6+N(F36)*'Đơn giá'!$B$7+N(G36)*'Đơn giá'!$B$8+N(H36)*'Đơn giá'!$B$9+N(I36)*'Đơn giá'!$B$10))</f>
        <v/>
      </c>
      <c r="L36" s="11" t="n"/>
    </row>
    <row r="37" ht="14.25" customHeight="1" s="65">
      <c r="A37" s="28" t="inlineStr">
        <is>
          <t>6.1</t>
        </is>
      </c>
      <c r="B37" s="50" t="inlineStr">
        <is>
          <t xml:space="preserve">   Tài liệu chuyển giao</t>
        </is>
      </c>
      <c r="C37" s="35" t="n"/>
      <c r="D37" s="35" t="n"/>
      <c r="E37" s="35" t="n">
        <v>32</v>
      </c>
      <c r="F37" s="35" t="n"/>
      <c r="G37" s="35" t="n"/>
      <c r="H37" s="35" t="n"/>
      <c r="I37" s="35" t="n">
        <v>16</v>
      </c>
      <c r="J37" s="31">
        <f>IF(COUNT(C37:I37)=0,"&lt;&lt;THIẾU&gt;&gt;",SUM(C37:I37))</f>
        <v/>
      </c>
      <c r="K37" s="34">
        <f>IF(COUNT(C37:I37)=0,"&lt;&lt;THIẾU&gt;&gt;",IF(COUNT('Đơn giá'!$B$4:$B$10)&lt;7,"&lt;&lt;THIẾU: đơn giá&gt;&gt;",N(C37)*'Đơn giá'!$B$4+N(D37)*'Đơn giá'!$B$5+N(E37)*'Đơn giá'!$B$6+N(F37)*'Đơn giá'!$B$7+N(G37)*'Đơn giá'!$B$8+N(H37)*'Đơn giá'!$B$9+N(I37)*'Đơn giá'!$B$10))</f>
        <v/>
      </c>
      <c r="L37" s="50" t="n"/>
    </row>
    <row r="38" ht="14.25" customHeight="1" s="65">
      <c r="A38" s="28" t="inlineStr">
        <is>
          <t>6.2</t>
        </is>
      </c>
      <c r="B38" s="50" t="inlineStr">
        <is>
          <t xml:space="preserve">   Đào tạo</t>
        </is>
      </c>
      <c r="C38" s="35" t="n"/>
      <c r="D38" s="35" t="n"/>
      <c r="E38" s="35" t="n">
        <v>8</v>
      </c>
      <c r="F38" s="35" t="n"/>
      <c r="G38" s="35" t="n"/>
      <c r="H38" s="35" t="n"/>
      <c r="I38" s="35" t="n">
        <v>8</v>
      </c>
      <c r="J38" s="31">
        <f>IF(COUNT(C38:I38)=0,"&lt;&lt;THIẾU&gt;&gt;",SUM(C38:I38))</f>
        <v/>
      </c>
      <c r="K38" s="34">
        <f>IF(COUNT(C38:I38)=0,"&lt;&lt;THIẾU&gt;&gt;",IF(COUNT('Đơn giá'!$B$4:$B$10)&lt;7,"&lt;&lt;THIẾU: đơn giá&gt;&gt;",N(C38)*'Đơn giá'!$B$4+N(D38)*'Đơn giá'!$B$5+N(E38)*'Đơn giá'!$B$6+N(F38)*'Đơn giá'!$B$7+N(G38)*'Đơn giá'!$B$8+N(H38)*'Đơn giá'!$B$9+N(I38)*'Đơn giá'!$B$10))</f>
        <v/>
      </c>
      <c r="L38" s="50" t="n"/>
    </row>
    <row r="39" ht="14.25" customHeight="1" s="65">
      <c r="A39" s="28" t="inlineStr">
        <is>
          <t>6.3</t>
        </is>
      </c>
      <c r="B39" s="50" t="inlineStr">
        <is>
          <t xml:space="preserve">   Go-live</t>
        </is>
      </c>
      <c r="C39" s="35" t="n"/>
      <c r="D39" s="35" t="n"/>
      <c r="E39" s="35" t="n"/>
      <c r="F39" s="35" t="n"/>
      <c r="G39" s="35" t="n"/>
      <c r="H39" s="35" t="n"/>
      <c r="I39" s="35" t="n">
        <v>8</v>
      </c>
      <c r="J39" s="31">
        <f>IF(COUNT(C39:I39)=0,"&lt;&lt;THIẾU&gt;&gt;",SUM(C39:I39))</f>
        <v/>
      </c>
      <c r="K39" s="34">
        <f>IF(COUNT(C39:I39)=0,"&lt;&lt;THIẾU&gt;&gt;",IF(COUNT('Đơn giá'!$B$4:$B$10)&lt;7,"&lt;&lt;THIẾU: đơn giá&gt;&gt;",N(C39)*'Đơn giá'!$B$4+N(D39)*'Đơn giá'!$B$5+N(E39)*'Đơn giá'!$B$6+N(F39)*'Đơn giá'!$B$7+N(G39)*'Đơn giá'!$B$8+N(H39)*'Đơn giá'!$B$9+N(I39)*'Đơn giá'!$B$10))</f>
        <v/>
      </c>
      <c r="L39" s="50" t="n"/>
    </row>
    <row r="40" ht="14.25" customHeight="1" s="65">
      <c r="A40" s="28" t="inlineStr">
        <is>
          <t>6.4</t>
        </is>
      </c>
      <c r="B40" s="50" t="inlineStr">
        <is>
          <t xml:space="preserve">   Hỗ trợ sau go-live</t>
        </is>
      </c>
      <c r="C40" s="35" t="n">
        <v>8</v>
      </c>
      <c r="D40" s="35" t="n"/>
      <c r="E40" s="35" t="n"/>
      <c r="F40" s="35" t="n"/>
      <c r="G40" s="35" t="n">
        <v>124</v>
      </c>
      <c r="H40" s="35" t="n"/>
      <c r="I40" s="35" t="n"/>
      <c r="J40" s="31">
        <f>IF(COUNT(C40:I40)=0,"&lt;&lt;THIẾU&gt;&gt;",SUM(C40:I40))</f>
        <v/>
      </c>
      <c r="K40" s="34">
        <f>IF(COUNT(C40:I40)=0,"&lt;&lt;THIẾU&gt;&gt;",IF(COUNT('Đơn giá'!$B$4:$B$10)&lt;7,"&lt;&lt;THIẾU: đơn giá&gt;&gt;",N(C40)*'Đơn giá'!$B$4+N(D40)*'Đơn giá'!$B$5+N(E40)*'Đơn giá'!$B$6+N(F40)*'Đơn giá'!$B$7+N(G40)*'Đơn giá'!$B$8+N(H40)*'Đơn giá'!$B$9+N(I40)*'Đơn giá'!$B$10))</f>
        <v/>
      </c>
      <c r="L40" s="50" t="n"/>
    </row>
    <row r="41" ht="14.25" customHeight="1" s="65">
      <c r="A41" s="64" t="n"/>
      <c r="B41" s="64" t="inlineStr">
        <is>
          <t>TỔNG CỘNG</t>
        </is>
      </c>
      <c r="C41" s="64">
        <f>SUM(C4,C9,C15,C22,C29,C36)</f>
        <v/>
      </c>
      <c r="D41" s="64">
        <f>SUM(D4,D9,D15,D22,D29,D36)</f>
        <v/>
      </c>
      <c r="E41" s="64">
        <f>SUM(E4,E9,E15,E22,E29,E36)</f>
        <v/>
      </c>
      <c r="F41" s="64">
        <f>SUM(F4,F9,F15,F22,F29,F36)</f>
        <v/>
      </c>
      <c r="G41" s="64">
        <f>SUM(G4,G9,G15,G22,G29,G36)</f>
        <v/>
      </c>
      <c r="H41" s="64">
        <f>SUM(H4,H9,H15,H22,H29,H36)</f>
        <v/>
      </c>
      <c r="I41" s="64">
        <f>SUM(I4,I9,I15,I22,I29,I36)</f>
        <v/>
      </c>
      <c r="J41" s="64">
        <f>IF(COUNT(C4:I40)=0,"&lt;&lt;THIẾU&gt;&gt;",SUM(C41:I41))</f>
        <v/>
      </c>
      <c r="K41" s="55">
        <f>IF(COUNT(C4:I40)=0,"&lt;&lt;THIẾU&gt;&gt;",IF(COUNT('Đơn giá'!$B$4:$B$10)&lt;7,"&lt;&lt;THIẾU: đơn giá&gt;&gt;",N(C41)*'Đơn giá'!$B$4+N(D41)*'Đơn giá'!$B$5+N(E41)*'Đơn giá'!$B$6+N(F41)*'Đơn giá'!$B$7+N(G41)*'Đơn giá'!$B$8+N(H41)*'Đơn giá'!$B$9+N(I41)*'Đơn giá'!$B$10))</f>
        <v/>
      </c>
      <c r="L41" s="64" t="n"/>
    </row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  <row r="1000" ht="14.25" customHeight="1" s="65"/>
  </sheetData>
  <conditionalFormatting sqref="J4:K41">
    <cfRule type="expression" priority="1" dxfId="6">
      <formula>LEFT(J4,2)="&lt;&lt;"</formula>
    </cfRule>
  </conditionalFormatting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8" defaultColWidth="14.43" defaultRowHeight="15" customHeight="1"/>
  <cols>
    <col width="30" customWidth="1" style="65" min="1" max="1"/>
    <col hidden="1" width="12" customWidth="1" style="65" min="2" max="6"/>
    <col hidden="1" width="14" customWidth="1" style="65" min="7" max="8"/>
    <col width="14" customWidth="1" style="65" min="9" max="11"/>
    <col width="25.57" customWidth="1" style="65" min="12" max="12"/>
    <col width="8.57" customWidth="1" style="65" min="13" max="27"/>
  </cols>
  <sheetData>
    <row r="1" ht="14.25" customHeight="1" s="65">
      <c r="A1" s="2" t="inlineStr">
        <is>
          <t>Phân bổ ngày công theo vai trò và chi phí theo tháng</t>
        </is>
      </c>
    </row>
    <row r="2" ht="14.25" customHeight="1" s="65">
      <c r="A2" s="3" t="n"/>
    </row>
    <row r="3" ht="14.25" customHeight="1" s="65">
      <c r="A3" s="12" t="inlineStr">
        <is>
          <t>Tháng bắt đầu: 03/2026</t>
        </is>
      </c>
      <c r="B3" s="10" t="n">
        <v>46174</v>
      </c>
      <c r="C3" s="14" t="n"/>
    </row>
    <row r="4" ht="14.25" customHeight="1" s="65"/>
    <row r="5" ht="14.25" customHeight="1" s="65">
      <c r="A5" s="20" t="inlineStr">
        <is>
          <t>Nhân sự (Vai trò)</t>
        </is>
      </c>
      <c r="B5" s="16" t="n">
        <v>46097</v>
      </c>
      <c r="C5" s="16" t="n">
        <v>46113</v>
      </c>
      <c r="D5" s="16" t="n">
        <v>46143</v>
      </c>
      <c r="E5" s="16" t="n">
        <v>46174</v>
      </c>
      <c r="F5" s="16" t="n">
        <v>46204</v>
      </c>
      <c r="G5" s="18" t="n">
        <v>46235</v>
      </c>
      <c r="H5" s="18" t="n">
        <v>46249</v>
      </c>
      <c r="I5" s="20" t="inlineStr">
        <is>
          <t>Tổng công dự kiến (Giờ)</t>
        </is>
      </c>
      <c r="J5" s="20" t="inlineStr">
        <is>
          <t>Chênh lệch so với WBS</t>
        </is>
      </c>
      <c r="K5" s="20" t="inlineStr">
        <is>
          <t>Tổng theo WBS</t>
        </is>
      </c>
      <c r="L5" s="21" t="inlineStr">
        <is>
          <t>Ghi chú</t>
        </is>
      </c>
    </row>
    <row r="6" ht="14.25" customHeight="1" s="65">
      <c r="A6" s="33" t="inlineStr">
        <is>
          <t>PM – Quản lý dự án</t>
        </is>
      </c>
      <c r="B6" s="22" t="n">
        <v>13</v>
      </c>
      <c r="C6" s="22" t="n">
        <v>44</v>
      </c>
      <c r="D6" s="22" t="n">
        <v>36</v>
      </c>
      <c r="E6" s="22" t="n">
        <v>30</v>
      </c>
      <c r="F6" s="22" t="n">
        <v>35</v>
      </c>
      <c r="G6" s="24" t="n">
        <v>35</v>
      </c>
      <c r="H6" s="24" t="n">
        <v>27</v>
      </c>
      <c r="I6" s="24">
        <f>SUM(B6:H6)</f>
        <v/>
      </c>
      <c r="J6" s="24">
        <f>I6-K6</f>
        <v/>
      </c>
      <c r="K6" s="25">
        <f>'Theo WBS theo vai trò'!C41</f>
        <v/>
      </c>
      <c r="L6" s="27" t="inlineStr">
        <is>
          <t>Làm OT thêm so với dự kiến</t>
        </is>
      </c>
    </row>
    <row r="7" ht="14.25" customHeight="1" s="65">
      <c r="A7" s="33" t="inlineStr">
        <is>
          <t>SA – Kiến trúc hệ thống</t>
        </is>
      </c>
      <c r="B7" s="22" t="n">
        <v>26</v>
      </c>
      <c r="C7" s="22" t="n">
        <v>84</v>
      </c>
      <c r="D7" s="22" t="n">
        <v>74</v>
      </c>
      <c r="E7" s="22" t="n">
        <v>68</v>
      </c>
      <c r="F7" s="22" t="n">
        <v>44</v>
      </c>
      <c r="G7" s="24" t="inlineStr">
        <is>
          <t>-</t>
        </is>
      </c>
      <c r="H7" s="24" t="inlineStr">
        <is>
          <t>-</t>
        </is>
      </c>
      <c r="I7" s="24">
        <f>SUM(B7:H7)</f>
        <v/>
      </c>
      <c r="J7" s="24">
        <f>I7-K7</f>
        <v/>
      </c>
      <c r="K7" s="25">
        <f>'Theo WBS theo vai trò'!D41</f>
        <v/>
      </c>
    </row>
    <row r="8" ht="14.25" customHeight="1" s="65">
      <c r="A8" s="33" t="inlineStr">
        <is>
          <t>BA – Phân tích nghiệp vụ</t>
        </is>
      </c>
      <c r="B8" s="22" t="n">
        <v>24</v>
      </c>
      <c r="C8" s="22" t="n">
        <v>220</v>
      </c>
      <c r="D8" s="22" t="n">
        <v>48</v>
      </c>
      <c r="E8" s="22" t="n">
        <v>40</v>
      </c>
      <c r="F8" s="22" t="n">
        <v>8</v>
      </c>
      <c r="G8" s="24" t="n">
        <v>100</v>
      </c>
      <c r="H8" s="24" t="inlineStr">
        <is>
          <t>-</t>
        </is>
      </c>
      <c r="I8" s="24">
        <f>SUM(B8:H8)</f>
        <v/>
      </c>
      <c r="J8" s="24">
        <f>I8-K8</f>
        <v/>
      </c>
      <c r="K8" s="25">
        <f>'Theo WBS theo vai trò'!E41</f>
        <v/>
      </c>
    </row>
    <row r="9" ht="14.25" customHeight="1" s="65">
      <c r="A9" s="33" t="inlineStr">
        <is>
          <t>UX – Thiết kế giao diện</t>
        </is>
      </c>
      <c r="B9" s="22" t="n">
        <v>28</v>
      </c>
      <c r="C9" s="22" t="n">
        <v>92</v>
      </c>
      <c r="D9" s="22" t="n">
        <v>40</v>
      </c>
      <c r="E9" s="22" t="inlineStr">
        <is>
          <t>-</t>
        </is>
      </c>
      <c r="F9" s="22" t="inlineStr">
        <is>
          <t>-</t>
        </is>
      </c>
      <c r="G9" s="24" t="inlineStr">
        <is>
          <t>-</t>
        </is>
      </c>
      <c r="H9" s="24" t="inlineStr">
        <is>
          <t>-</t>
        </is>
      </c>
      <c r="I9" s="24">
        <f>SUM(B9:H9)</f>
        <v/>
      </c>
      <c r="J9" s="24">
        <f>I9-K9</f>
        <v/>
      </c>
      <c r="K9" s="25">
        <f>'Theo WBS theo vai trò'!F41</f>
        <v/>
      </c>
      <c r="L9" s="32" t="inlineStr">
        <is>
          <t>Khối lượng công việc quá tải, nhân sự phải OT và thực hiện công việc nhiều hơn thời gian dự kiến</t>
        </is>
      </c>
    </row>
    <row r="10" ht="14.25" customHeight="1" s="65">
      <c r="A10" s="33" t="inlineStr">
        <is>
          <t>DEV – Lập trình (3)</t>
        </is>
      </c>
      <c r="B10" s="22" t="n">
        <v>38</v>
      </c>
      <c r="C10" s="22" t="n">
        <v>67</v>
      </c>
      <c r="D10" s="22" t="n">
        <v>260</v>
      </c>
      <c r="E10" s="22" t="n">
        <v>600</v>
      </c>
      <c r="F10" s="22" t="n">
        <v>432</v>
      </c>
      <c r="G10" s="24" t="n">
        <v>225</v>
      </c>
      <c r="H10" s="24" t="n">
        <v>150</v>
      </c>
      <c r="I10" s="24">
        <f>SUM(B10:H10)</f>
        <v/>
      </c>
      <c r="J10" s="24">
        <f>I10-K10</f>
        <v/>
      </c>
      <c r="K10" s="25">
        <f>'Theo WBS theo vai trò'!G41</f>
        <v/>
      </c>
      <c r="L10" s="32" t="inlineStr">
        <is>
          <t>Khối lượng công việc quá tải, nhân sự phải OT và thực hiện công việc nhiều hơn thời gian dự kiến</t>
        </is>
      </c>
    </row>
    <row r="11" ht="14.25" customHeight="1" s="65">
      <c r="A11" s="33" t="inlineStr">
        <is>
          <t>QA – Kiểm thử (2)</t>
        </is>
      </c>
      <c r="B11" s="22" t="inlineStr">
        <is>
          <t>-</t>
        </is>
      </c>
      <c r="C11" s="22" t="inlineStr">
        <is>
          <t>-</t>
        </is>
      </c>
      <c r="D11" s="22" t="n">
        <v>99</v>
      </c>
      <c r="E11" s="22" t="n">
        <v>153</v>
      </c>
      <c r="F11" s="22" t="n">
        <v>205</v>
      </c>
      <c r="G11" s="24" t="n">
        <v>102</v>
      </c>
      <c r="H11" s="24" t="inlineStr">
        <is>
          <t>-</t>
        </is>
      </c>
      <c r="I11" s="24">
        <f>SUM(B11:H11)</f>
        <v/>
      </c>
      <c r="J11" s="24">
        <f>I11-K11</f>
        <v/>
      </c>
      <c r="K11" s="25">
        <f>'Theo WBS theo vai trò'!H41</f>
        <v/>
      </c>
      <c r="L11" s="32" t="n"/>
    </row>
    <row r="12" ht="14.25" customHeight="1" s="65">
      <c r="A12" s="33" t="inlineStr">
        <is>
          <t>OPS – Hạ tầng và vận hành</t>
        </is>
      </c>
      <c r="B12" s="22" t="n">
        <v>2</v>
      </c>
      <c r="C12" s="22" t="n">
        <v>8</v>
      </c>
      <c r="D12" s="22" t="n">
        <v>63</v>
      </c>
      <c r="E12" s="22" t="n">
        <v>92</v>
      </c>
      <c r="F12" s="22" t="n">
        <v>29</v>
      </c>
      <c r="G12" s="24" t="n">
        <v>42</v>
      </c>
      <c r="H12" s="24" t="inlineStr">
        <is>
          <t>-</t>
        </is>
      </c>
      <c r="I12" s="24">
        <f>SUM(B12:H12)</f>
        <v/>
      </c>
      <c r="J12" s="24">
        <f>I12-K12</f>
        <v/>
      </c>
      <c r="K12" s="25">
        <f>'Theo WBS theo vai trò'!I41</f>
        <v/>
      </c>
    </row>
    <row r="13" ht="14.25" customHeight="1" s="65">
      <c r="A13" s="54" t="inlineStr">
        <is>
          <t>Tổng ngày công</t>
        </is>
      </c>
      <c r="B13" s="37">
        <f>SUM(B6:B12)</f>
        <v/>
      </c>
      <c r="C13" s="37">
        <f>SUM(C6:C12)</f>
        <v/>
      </c>
      <c r="D13" s="37">
        <f>SUM(D6:D12)</f>
        <v/>
      </c>
      <c r="E13" s="37">
        <f>SUM(E6:E12)</f>
        <v/>
      </c>
      <c r="F13" s="37">
        <f>SUM(F6:F12)</f>
        <v/>
      </c>
      <c r="G13" s="37" t="n"/>
      <c r="H13" s="37" t="n"/>
      <c r="I13" s="37">
        <f>SUM(I6:I12)</f>
        <v/>
      </c>
      <c r="J13" s="38">
        <f>SUM(J6:J12)</f>
        <v/>
      </c>
      <c r="K13" s="38">
        <f>SUM(K6:K12)</f>
        <v/>
      </c>
    </row>
    <row r="14" ht="14.25" customHeight="1" s="65">
      <c r="A14" s="54" t="inlineStr">
        <is>
          <t>Chi phí nhân công (VNĐ)</t>
        </is>
      </c>
      <c r="B14" s="53">
        <f>IF(COUNT('Đơn giá'!$B$4:$B$10)&lt;7,"&lt;&lt;THIẾU: đơn giá&gt;&gt;",SUMPRODUCT(B6:B12,'Đơn giá'!$B$4:$B$10))</f>
        <v/>
      </c>
      <c r="C14" s="53">
        <f>IF(COUNT('Đơn giá'!$B$4:$B$10)&lt;7,"&lt;&lt;THIẾU: đơn giá&gt;&gt;",SUMPRODUCT(C6:C12,'Đơn giá'!$B$4:$B$10))</f>
        <v/>
      </c>
      <c r="D14" s="53">
        <f>IF(COUNT('Đơn giá'!$B$4:$B$10)&lt;7,"&lt;&lt;THIẾU: đơn giá&gt;&gt;",SUMPRODUCT(D6:D12,'Đơn giá'!$B$4:$B$10))</f>
        <v/>
      </c>
      <c r="E14" s="53">
        <f>IF(COUNT('Đơn giá'!$B$4:$B$10)&lt;7,"&lt;&lt;THIẾU: đơn giá&gt;&gt;",SUMPRODUCT(E6:E12,'Đơn giá'!$B$4:$B$10))</f>
        <v/>
      </c>
      <c r="F14" s="53">
        <f>IF(COUNT('Đơn giá'!$B$4:$B$10)&lt;7,"&lt;&lt;THIẾU: đơn giá&gt;&gt;",SUMPRODUCT(F6:F12,'Đơn giá'!$B$4:$B$10))</f>
        <v/>
      </c>
      <c r="G14" s="53" t="n"/>
      <c r="H14" s="53" t="n"/>
      <c r="I14" s="53">
        <f>IF(COUNT('Đơn giá'!$B$4:$B$10)&lt;7,"&lt;&lt;THIẾU: đơn giá&gt;&gt;",SUMPRODUCT(I6:I12,'Đơn giá'!$B$4:$B$10))</f>
        <v/>
      </c>
      <c r="K14" s="53">
        <f>IF(COUNT('Đơn giá'!$B$4:$B$10)&lt;7,"&lt;&lt;THIẾU: đơn giá&gt;&gt;",SUMPRODUCT(K6:K12,'Đơn giá'!$B$4:$B$10))</f>
        <v/>
      </c>
    </row>
    <row r="15" ht="14.25" customHeight="1" s="65"/>
    <row r="16" hidden="1" ht="14.25" customHeight="1" s="65">
      <c r="A16" s="12" t="inlineStr">
        <is>
          <t>Kiểm tra: phân bổ theo tháng khớp WBS</t>
        </is>
      </c>
      <c r="B16" s="48">
        <f t="array" ref="B16">IF(SUMPRODUCT(ABS(J6:J12))=0,"ĐẠT","LỆCH – xem cột chênh lệch")</f>
        <v/>
      </c>
    </row>
    <row r="17" ht="14.25" customHeight="1" s="65"/>
    <row r="18" ht="14.25" customHeight="1" s="65"/>
    <row r="19" ht="14.25" customHeight="1" s="65"/>
    <row r="20" ht="14.25" customHeight="1" s="65"/>
    <row r="21" ht="14.25" customHeight="1" s="65"/>
    <row r="22" ht="14.25" customHeight="1" s="65"/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  <row r="997" ht="14.25" customHeight="1" s="65"/>
    <row r="998" ht="14.25" customHeight="1" s="65"/>
    <row r="999" ht="14.25" customHeight="1" s="65"/>
  </sheetData>
  <conditionalFormatting sqref="J6:J12">
    <cfRule type="expression" priority="1" dxfId="5">
      <formula>J6&lt;&gt;0</formula>
    </cfRule>
  </conditionalFormatting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65" min="1" max="1"/>
    <col width="14" customWidth="1" style="65" min="2" max="2"/>
    <col width="22" customWidth="1" style="65" min="3" max="3"/>
    <col width="20" customWidth="1" style="65" min="4" max="4"/>
    <col width="60" customWidth="1" style="65" min="5" max="5"/>
    <col width="8.57" customWidth="1" style="65" min="6" max="26"/>
  </cols>
  <sheetData>
    <row r="1" ht="14.25" customHeight="1" s="65">
      <c r="A1" s="2" t="inlineStr">
        <is>
          <t>Tổng hợp dự toán chi phí nhân công</t>
        </is>
      </c>
    </row>
    <row r="2" ht="14.25" customHeight="1" s="65"/>
    <row r="3" ht="14.25" customHeight="1" s="65">
      <c r="A3" s="20" t="inlineStr">
        <is>
          <t>Vai trò</t>
        </is>
      </c>
      <c r="B3" s="20" t="inlineStr">
        <is>
          <t>Ngày công (Giờ)</t>
        </is>
      </c>
      <c r="C3" s="20" t="inlineStr">
        <is>
          <t>Đơn giá (VNĐ/Giờ)</t>
        </is>
      </c>
      <c r="D3" s="20" t="inlineStr">
        <is>
          <t>Chi phí (VNĐ)</t>
        </is>
      </c>
      <c r="E3" s="20" t="inlineStr">
        <is>
          <t>Tỷ trọng</t>
        </is>
      </c>
    </row>
    <row r="4" ht="14.25" customHeight="1" s="65">
      <c r="A4" s="13" t="inlineStr">
        <is>
          <t>PM – Quản lý dự án</t>
        </is>
      </c>
      <c r="B4" s="25">
        <f>'Theo WBS theo vai trò'!C41</f>
        <v/>
      </c>
      <c r="C4" s="39">
        <f>IF('Đơn giá'!B4="","&lt;&lt;THIẾU&gt;&gt;",'Đơn giá'!B4)</f>
        <v/>
      </c>
      <c r="D4" s="41">
        <f>IF(ISNUMBER(C4),B4*C4,"&lt;&lt;THIẾU&gt;&gt;")</f>
        <v/>
      </c>
      <c r="E4" s="42">
        <f>IF(AND(ISNUMBER(D4),ISNUMBER($D$11)),IF($D$11=0,0,D4/$D$11),"")</f>
        <v/>
      </c>
    </row>
    <row r="5" ht="14.25" customHeight="1" s="65">
      <c r="A5" s="13" t="inlineStr">
        <is>
          <t>SA – Kiến trúc hệ thống</t>
        </is>
      </c>
      <c r="B5" s="25">
        <f>'Theo WBS theo vai trò'!D41</f>
        <v/>
      </c>
      <c r="C5" s="39">
        <f>IF('Đơn giá'!B5="","&lt;&lt;THIẾU&gt;&gt;",'Đơn giá'!B5)</f>
        <v/>
      </c>
      <c r="D5" s="41">
        <f>IF(ISNUMBER(C5),B5*C5,"&lt;&lt;THIẾU&gt;&gt;")</f>
        <v/>
      </c>
      <c r="E5" s="42">
        <f>IF(AND(ISNUMBER(D5),ISNUMBER($D$11)),IF($D$11=0,0,D5/$D$11),"")</f>
        <v/>
      </c>
    </row>
    <row r="6" ht="14.25" customHeight="1" s="65">
      <c r="A6" s="13" t="inlineStr">
        <is>
          <t>BA – Phân tích nghiệp vụ</t>
        </is>
      </c>
      <c r="B6" s="25">
        <f>'Theo WBS theo vai trò'!E41</f>
        <v/>
      </c>
      <c r="C6" s="39">
        <f>IF('Đơn giá'!B6="","&lt;&lt;THIẾU&gt;&gt;",'Đơn giá'!B6)</f>
        <v/>
      </c>
      <c r="D6" s="41">
        <f>IF(ISNUMBER(C6),B6*C6,"&lt;&lt;THIẾU&gt;&gt;")</f>
        <v/>
      </c>
      <c r="E6" s="42">
        <f>IF(AND(ISNUMBER(D6),ISNUMBER($D$11)),IF($D$11=0,0,D6/$D$11),"")</f>
        <v/>
      </c>
    </row>
    <row r="7" ht="14.25" customHeight="1" s="65">
      <c r="A7" s="13" t="inlineStr">
        <is>
          <t>UX – Thiết kế giao diện</t>
        </is>
      </c>
      <c r="B7" s="25">
        <f>'Theo WBS theo vai trò'!F41</f>
        <v/>
      </c>
      <c r="C7" s="39">
        <f>IF('Đơn giá'!B7="","&lt;&lt;THIẾU&gt;&gt;",'Đơn giá'!B7)</f>
        <v/>
      </c>
      <c r="D7" s="41">
        <f>IF(ISNUMBER(C7),B7*C7,"&lt;&lt;THIẾU&gt;&gt;")</f>
        <v/>
      </c>
      <c r="E7" s="42">
        <f>IF(AND(ISNUMBER(D7),ISNUMBER($D$11)),IF($D$11=0,0,D7/$D$11),"")</f>
        <v/>
      </c>
    </row>
    <row r="8" ht="14.25" customHeight="1" s="65">
      <c r="A8" s="13" t="inlineStr">
        <is>
          <t>DEV – Lập trình</t>
        </is>
      </c>
      <c r="B8" s="25">
        <f>'Theo WBS theo vai trò'!G41</f>
        <v/>
      </c>
      <c r="C8" s="39">
        <f>IF('Đơn giá'!B8="","&lt;&lt;THIẾU&gt;&gt;",'Đơn giá'!B8)</f>
        <v/>
      </c>
      <c r="D8" s="41">
        <f>IF(ISNUMBER(C8),B8*C8,"&lt;&lt;THIẾU&gt;&gt;")</f>
        <v/>
      </c>
      <c r="E8" s="42">
        <f>IF(AND(ISNUMBER(D8),ISNUMBER($D$11)),IF($D$11=0,0,D8/$D$11),"")</f>
        <v/>
      </c>
    </row>
    <row r="9" ht="14.25" customHeight="1" s="65">
      <c r="A9" s="13" t="inlineStr">
        <is>
          <t>QA – Kiểm thử</t>
        </is>
      </c>
      <c r="B9" s="25">
        <f>'Theo WBS theo vai trò'!H41</f>
        <v/>
      </c>
      <c r="C9" s="39">
        <f>IF('Đơn giá'!B9="","&lt;&lt;THIẾU&gt;&gt;",'Đơn giá'!B9)</f>
        <v/>
      </c>
      <c r="D9" s="41">
        <f>IF(ISNUMBER(C9),B9*C9,"&lt;&lt;THIẾU&gt;&gt;")</f>
        <v/>
      </c>
      <c r="E9" s="42">
        <f>IF(AND(ISNUMBER(D9),ISNUMBER($D$11)),IF($D$11=0,0,D9/$D$11),"")</f>
        <v/>
      </c>
    </row>
    <row r="10" ht="14.25" customHeight="1" s="65">
      <c r="A10" s="13" t="inlineStr">
        <is>
          <t>OPS – Hạ tầng và vận hành</t>
        </is>
      </c>
      <c r="B10" s="25">
        <f>'Theo WBS theo vai trò'!I41</f>
        <v/>
      </c>
      <c r="C10" s="39">
        <f>IF('Đơn giá'!B10="","&lt;&lt;THIẾU&gt;&gt;",'Đơn giá'!B10)</f>
        <v/>
      </c>
      <c r="D10" s="41">
        <f>IF(ISNUMBER(C10),B10*C10,"&lt;&lt;THIẾU&gt;&gt;")</f>
        <v/>
      </c>
      <c r="E10" s="42">
        <f>IF(AND(ISNUMBER(D10),ISNUMBER($D$11)),IF($D$11=0,0,D10/$D$11),"")</f>
        <v/>
      </c>
    </row>
    <row r="11" ht="14.25" customHeight="1" s="65">
      <c r="A11" s="54" t="inlineStr">
        <is>
          <t>Cộng chi phí nhân công</t>
        </is>
      </c>
      <c r="B11" s="37">
        <f>SUM(B4:B10)</f>
        <v/>
      </c>
      <c r="C11" s="51" t="n"/>
      <c r="D11" s="53">
        <f>IF(COUNT(D4:D10)&lt;7,"&lt;&lt;THIẾU&gt;&gt;",SUM(D4:D10))</f>
        <v/>
      </c>
      <c r="E11" s="51" t="n"/>
    </row>
    <row r="12" hidden="1" ht="14.25" customHeight="1" s="65">
      <c r="A12" s="52" t="inlineStr">
        <is>
          <t>Chi phí chung và quản lý</t>
        </is>
      </c>
      <c r="B12" s="51" t="n"/>
      <c r="C12" s="51" t="n"/>
      <c r="D12" s="53" t="n">
        <v>50000000</v>
      </c>
      <c r="E12" s="51" t="n"/>
    </row>
    <row r="13" hidden="1" ht="14.25" customHeight="1" s="65">
      <c r="A13" s="54" t="inlineStr">
        <is>
          <t>TỔNG DỰ TOÁN NHÂN SỰ TRƯỚC VAT</t>
        </is>
      </c>
      <c r="B13" s="51" t="n"/>
      <c r="C13" s="51" t="n"/>
      <c r="D13" s="55">
        <f>SUM(D11:D12)</f>
        <v/>
      </c>
      <c r="E13" s="51" t="n"/>
    </row>
    <row r="14" ht="14.25" customHeight="1" s="65"/>
    <row r="15" ht="14.25" customHeight="1" s="65">
      <c r="A15" s="56" t="inlineStr">
        <is>
          <t>Chi phí nhân công theo giai đoạn</t>
        </is>
      </c>
    </row>
    <row r="16" ht="14.25" customHeight="1" s="65">
      <c r="A16" s="20" t="inlineStr">
        <is>
          <t>Giai đoạn</t>
        </is>
      </c>
      <c r="B16" s="20" t="inlineStr">
        <is>
          <t>Ngày công</t>
        </is>
      </c>
      <c r="C16" s="20" t="inlineStr">
        <is>
          <t>Chi phí (VNĐ)</t>
        </is>
      </c>
      <c r="D16" s="20" t="inlineStr">
        <is>
          <t>Tỷ trọng</t>
        </is>
      </c>
      <c r="E16" s="20" t="n"/>
    </row>
    <row r="17" ht="14.25" customHeight="1" s="65">
      <c r="A17" s="50" t="inlineStr">
        <is>
          <t>1. Quản lý dự án</t>
        </is>
      </c>
      <c r="B17" s="57">
        <f>'Theo WBS theo vai trò'!J4</f>
        <v/>
      </c>
      <c r="C17" s="59">
        <f>'Theo WBS theo vai trò'!K4</f>
        <v/>
      </c>
      <c r="D17" s="62">
        <f>IF(AND(ISNUMBER(C17),ISNUMBER($D$11)),IF($D$11=0,0,C17/$D$11),"")</f>
        <v/>
      </c>
      <c r="E17" s="50" t="n"/>
    </row>
    <row r="18" ht="14.25" customHeight="1" s="65">
      <c r="A18" s="50" t="inlineStr">
        <is>
          <t>2. Phân tích hệ thống (System Analysis)</t>
        </is>
      </c>
      <c r="B18" s="57">
        <f>'Theo WBS theo vai trò'!J9</f>
        <v/>
      </c>
      <c r="C18" s="59">
        <f>'Theo WBS theo vai trò'!K9</f>
        <v/>
      </c>
      <c r="D18" s="62">
        <f>IF(AND(ISNUMBER(C18),ISNUMBER($D$11)),IF($D$11=0,0,C18/$D$11),"")</f>
        <v/>
      </c>
      <c r="E18" s="50" t="n"/>
    </row>
    <row r="19" ht="14.25" customHeight="1" s="65">
      <c r="A19" s="50" t="inlineStr">
        <is>
          <t>3. Thiết kế hệ thống</t>
        </is>
      </c>
      <c r="B19" s="57">
        <f>'Theo WBS theo vai trò'!J15</f>
        <v/>
      </c>
      <c r="C19" s="59">
        <f>'Theo WBS theo vai trò'!K15</f>
        <v/>
      </c>
      <c r="D19" s="62">
        <f>IF(AND(ISNUMBER(C19),ISNUMBER($D$11)),IF($D$11=0,0,C19/$D$11),"")</f>
        <v/>
      </c>
      <c r="E19" s="50" t="n"/>
    </row>
    <row r="20" ht="14.25" customHeight="1" s="65">
      <c r="A20" s="50" t="inlineStr">
        <is>
          <t>4. Xây dựng hệ thống (Construction)</t>
        </is>
      </c>
      <c r="B20" s="57">
        <f>'Theo WBS theo vai trò'!J22</f>
        <v/>
      </c>
      <c r="C20" s="59">
        <f>'Theo WBS theo vai trò'!K22</f>
        <v/>
      </c>
      <c r="D20" s="62">
        <f>IF(AND(ISNUMBER(C20),ISNUMBER($D$11)),IF($D$11=0,0,C20/$D$11),"")</f>
        <v/>
      </c>
      <c r="E20" s="50" t="n"/>
    </row>
    <row r="21" ht="14.25" customHeight="1" s="65">
      <c r="A21" s="50" t="inlineStr">
        <is>
          <t>5. Kiểm thử (Testing)</t>
        </is>
      </c>
      <c r="B21" s="57">
        <f>'Theo WBS theo vai trò'!J29</f>
        <v/>
      </c>
      <c r="C21" s="59">
        <f>'Theo WBS theo vai trò'!K29</f>
        <v/>
      </c>
      <c r="D21" s="62">
        <f>IF(AND(ISNUMBER(C21),ISNUMBER($D$11)),IF($D$11=0,0,C21/$D$11),"")</f>
        <v/>
      </c>
      <c r="E21" s="50" t="n"/>
    </row>
    <row r="22" ht="14.25" customHeight="1" s="65">
      <c r="A22" s="50" t="inlineStr">
        <is>
          <t>6. Triển khai và chuyển giao (Cut-over)</t>
        </is>
      </c>
      <c r="B22" s="57">
        <f>'Theo WBS theo vai trò'!J36</f>
        <v/>
      </c>
      <c r="C22" s="59">
        <f>'Theo WBS theo vai trò'!K36</f>
        <v/>
      </c>
      <c r="D22" s="62">
        <f>IF(AND(ISNUMBER(C22),ISNUMBER($D$11)),IF($D$11=0,0,C22/$D$11),"")</f>
        <v/>
      </c>
      <c r="E22" s="50" t="n"/>
    </row>
    <row r="23" ht="14.25" customHeight="1" s="65"/>
    <row r="24" ht="14.25" customHeight="1" s="65"/>
    <row r="25" ht="14.25" customHeight="1" s="65"/>
    <row r="26" ht="14.25" customHeight="1" s="65"/>
    <row r="27" ht="14.25" customHeight="1" s="65"/>
    <row r="28" ht="14.25" customHeight="1" s="65"/>
    <row r="29" ht="14.25" customHeight="1" s="65"/>
    <row r="30" ht="14.25" customHeight="1" s="65"/>
    <row r="31" ht="14.25" customHeight="1" s="65"/>
    <row r="32" ht="14.25" customHeight="1" s="65"/>
    <row r="33" ht="14.25" customHeight="1" s="65"/>
    <row r="34" ht="14.25" customHeight="1" s="65"/>
    <row r="35" ht="14.25" customHeight="1" s="65"/>
    <row r="36" ht="14.25" customHeight="1" s="65"/>
    <row r="37" ht="14.25" customHeight="1" s="65"/>
    <row r="38" ht="14.25" customHeight="1" s="65"/>
    <row r="39" ht="14.25" customHeight="1" s="65"/>
    <row r="40" ht="14.25" customHeight="1" s="65"/>
    <row r="41" ht="14.25" customHeight="1" s="65"/>
    <row r="42" ht="14.25" customHeight="1" s="65"/>
    <row r="43" ht="14.25" customHeight="1" s="65"/>
    <row r="44" ht="14.25" customHeight="1" s="65"/>
    <row r="45" ht="14.25" customHeight="1" s="65"/>
    <row r="46" ht="14.25" customHeight="1" s="65"/>
    <row r="47" ht="14.25" customHeight="1" s="65"/>
    <row r="48" ht="14.25" customHeight="1" s="65"/>
    <row r="49" ht="14.25" customHeight="1" s="65"/>
    <row r="50" ht="14.25" customHeight="1" s="65"/>
    <row r="51" ht="14.25" customHeight="1" s="65"/>
    <row r="52" ht="14.25" customHeight="1" s="65"/>
    <row r="53" ht="14.25" customHeight="1" s="65"/>
    <row r="54" ht="14.25" customHeight="1" s="65"/>
    <row r="55" ht="14.25" customHeight="1" s="65"/>
    <row r="56" ht="14.25" customHeight="1" s="65"/>
    <row r="57" ht="14.25" customHeight="1" s="65"/>
    <row r="58" ht="14.25" customHeight="1" s="65"/>
    <row r="59" ht="14.25" customHeight="1" s="65"/>
    <row r="60" ht="14.25" customHeight="1" s="65"/>
    <row r="61" ht="14.25" customHeight="1" s="65"/>
    <row r="62" ht="14.25" customHeight="1" s="65"/>
    <row r="63" ht="14.25" customHeight="1" s="65"/>
    <row r="64" ht="14.25" customHeight="1" s="65"/>
    <row r="65" ht="14.25" customHeight="1" s="65"/>
    <row r="66" ht="14.25" customHeight="1" s="65"/>
    <row r="67" ht="14.25" customHeight="1" s="65"/>
    <row r="68" ht="14.25" customHeight="1" s="65"/>
    <row r="69" ht="14.25" customHeight="1" s="65"/>
    <row r="70" ht="14.25" customHeight="1" s="65"/>
    <row r="71" ht="14.25" customHeight="1" s="65"/>
    <row r="72" ht="14.25" customHeight="1" s="65"/>
    <row r="73" ht="14.25" customHeight="1" s="65"/>
    <row r="74" ht="14.25" customHeight="1" s="65"/>
    <row r="75" ht="14.25" customHeight="1" s="65"/>
    <row r="76" ht="14.25" customHeight="1" s="65"/>
    <row r="77" ht="14.25" customHeight="1" s="65"/>
    <row r="78" ht="14.25" customHeight="1" s="65"/>
    <row r="79" ht="14.25" customHeight="1" s="65"/>
    <row r="80" ht="14.25" customHeight="1" s="65"/>
    <row r="81" ht="14.25" customHeight="1" s="65"/>
    <row r="82" ht="14.25" customHeight="1" s="65"/>
    <row r="83" ht="14.25" customHeight="1" s="65"/>
    <row r="84" ht="14.25" customHeight="1" s="65"/>
    <row r="85" ht="14.25" customHeight="1" s="65"/>
    <row r="86" ht="14.25" customHeight="1" s="65"/>
    <row r="87" ht="14.25" customHeight="1" s="65"/>
    <row r="88" ht="14.25" customHeight="1" s="65"/>
    <row r="89" ht="14.25" customHeight="1" s="65"/>
    <row r="90" ht="14.25" customHeight="1" s="65"/>
    <row r="91" ht="14.25" customHeight="1" s="65"/>
    <row r="92" ht="14.25" customHeight="1" s="65"/>
    <row r="93" ht="14.25" customHeight="1" s="65"/>
    <row r="94" ht="14.25" customHeight="1" s="65"/>
    <row r="95" ht="14.25" customHeight="1" s="65"/>
    <row r="96" ht="14.25" customHeight="1" s="65"/>
    <row r="97" ht="14.25" customHeight="1" s="65"/>
    <row r="98" ht="14.25" customHeight="1" s="65"/>
    <row r="99" ht="14.25" customHeight="1" s="65"/>
    <row r="100" ht="14.25" customHeight="1" s="65"/>
    <row r="101" ht="14.25" customHeight="1" s="65"/>
    <row r="102" ht="14.25" customHeight="1" s="65"/>
    <row r="103" ht="14.25" customHeight="1" s="65"/>
    <row r="104" ht="14.25" customHeight="1" s="65"/>
    <row r="105" ht="14.25" customHeight="1" s="65"/>
    <row r="106" ht="14.25" customHeight="1" s="65"/>
    <row r="107" ht="14.25" customHeight="1" s="65"/>
    <row r="108" ht="14.25" customHeight="1" s="65"/>
    <row r="109" ht="14.25" customHeight="1" s="65"/>
    <row r="110" ht="14.25" customHeight="1" s="65"/>
    <row r="111" ht="14.25" customHeight="1" s="65"/>
    <row r="112" ht="14.25" customHeight="1" s="65"/>
    <row r="113" ht="14.25" customHeight="1" s="65"/>
    <row r="114" ht="14.25" customHeight="1" s="65"/>
    <row r="115" ht="14.25" customHeight="1" s="65"/>
    <row r="116" ht="14.25" customHeight="1" s="65"/>
    <row r="117" ht="14.25" customHeight="1" s="65"/>
    <row r="118" ht="14.25" customHeight="1" s="65"/>
    <row r="119" ht="14.25" customHeight="1" s="65"/>
    <row r="120" ht="14.25" customHeight="1" s="65"/>
    <row r="121" ht="14.25" customHeight="1" s="65"/>
    <row r="122" ht="14.25" customHeight="1" s="65"/>
    <row r="123" ht="14.25" customHeight="1" s="65"/>
    <row r="124" ht="14.25" customHeight="1" s="65"/>
    <row r="125" ht="14.25" customHeight="1" s="65"/>
    <row r="126" ht="14.25" customHeight="1" s="65"/>
    <row r="127" ht="14.25" customHeight="1" s="65"/>
    <row r="128" ht="14.25" customHeight="1" s="65"/>
    <row r="129" ht="14.25" customHeight="1" s="65"/>
    <row r="130" ht="14.25" customHeight="1" s="65"/>
    <row r="131" ht="14.25" customHeight="1" s="65"/>
    <row r="132" ht="14.25" customHeight="1" s="65"/>
    <row r="133" ht="14.25" customHeight="1" s="65"/>
    <row r="134" ht="14.25" customHeight="1" s="65"/>
    <row r="135" ht="14.25" customHeight="1" s="65"/>
    <row r="136" ht="14.25" customHeight="1" s="65"/>
    <row r="137" ht="14.25" customHeight="1" s="65"/>
    <row r="138" ht="14.25" customHeight="1" s="65"/>
    <row r="139" ht="14.25" customHeight="1" s="65"/>
    <row r="140" ht="14.25" customHeight="1" s="65"/>
    <row r="141" ht="14.25" customHeight="1" s="65"/>
    <row r="142" ht="14.25" customHeight="1" s="65"/>
    <row r="143" ht="14.25" customHeight="1" s="65"/>
    <row r="144" ht="14.25" customHeight="1" s="65"/>
    <row r="145" ht="14.25" customHeight="1" s="65"/>
    <row r="146" ht="14.25" customHeight="1" s="65"/>
    <row r="147" ht="14.25" customHeight="1" s="65"/>
    <row r="148" ht="14.25" customHeight="1" s="65"/>
    <row r="149" ht="14.25" customHeight="1" s="65"/>
    <row r="150" ht="14.25" customHeight="1" s="65"/>
    <row r="151" ht="14.25" customHeight="1" s="65"/>
    <row r="152" ht="14.25" customHeight="1" s="65"/>
    <row r="153" ht="14.25" customHeight="1" s="65"/>
    <row r="154" ht="14.25" customHeight="1" s="65"/>
    <row r="155" ht="14.25" customHeight="1" s="65"/>
    <row r="156" ht="14.25" customHeight="1" s="65"/>
    <row r="157" ht="14.25" customHeight="1" s="65"/>
    <row r="158" ht="14.25" customHeight="1" s="65"/>
    <row r="159" ht="14.25" customHeight="1" s="65"/>
    <row r="160" ht="14.25" customHeight="1" s="65"/>
    <row r="161" ht="14.25" customHeight="1" s="65"/>
    <row r="162" ht="14.25" customHeight="1" s="65"/>
    <row r="163" ht="14.25" customHeight="1" s="65"/>
    <row r="164" ht="14.25" customHeight="1" s="65"/>
    <row r="165" ht="14.25" customHeight="1" s="65"/>
    <row r="166" ht="14.25" customHeight="1" s="65"/>
    <row r="167" ht="14.25" customHeight="1" s="65"/>
    <row r="168" ht="14.25" customHeight="1" s="65"/>
    <row r="169" ht="14.25" customHeight="1" s="65"/>
    <row r="170" ht="14.25" customHeight="1" s="65"/>
    <row r="171" ht="14.25" customHeight="1" s="65"/>
    <row r="172" ht="14.25" customHeight="1" s="65"/>
    <row r="173" ht="14.25" customHeight="1" s="65"/>
    <row r="174" ht="14.25" customHeight="1" s="65"/>
    <row r="175" ht="14.25" customHeight="1" s="65"/>
    <row r="176" ht="14.25" customHeight="1" s="65"/>
    <row r="177" ht="14.25" customHeight="1" s="65"/>
    <row r="178" ht="14.25" customHeight="1" s="65"/>
    <row r="179" ht="14.25" customHeight="1" s="65"/>
    <row r="180" ht="14.25" customHeight="1" s="65"/>
    <row r="181" ht="14.25" customHeight="1" s="65"/>
    <row r="182" ht="14.25" customHeight="1" s="65"/>
    <row r="183" ht="14.25" customHeight="1" s="65"/>
    <row r="184" ht="14.25" customHeight="1" s="65"/>
    <row r="185" ht="14.25" customHeight="1" s="65"/>
    <row r="186" ht="14.25" customHeight="1" s="65"/>
    <row r="187" ht="14.25" customHeight="1" s="65"/>
    <row r="188" ht="14.25" customHeight="1" s="65"/>
    <row r="189" ht="14.25" customHeight="1" s="65"/>
    <row r="190" ht="14.25" customHeight="1" s="65"/>
    <row r="191" ht="14.25" customHeight="1" s="65"/>
    <row r="192" ht="14.25" customHeight="1" s="65"/>
    <row r="193" ht="14.25" customHeight="1" s="65"/>
    <row r="194" ht="14.25" customHeight="1" s="65"/>
    <row r="195" ht="14.25" customHeight="1" s="65"/>
    <row r="196" ht="14.25" customHeight="1" s="65"/>
    <row r="197" ht="14.25" customHeight="1" s="65"/>
    <row r="198" ht="14.25" customHeight="1" s="65"/>
    <row r="199" ht="14.25" customHeight="1" s="65"/>
    <row r="200" ht="14.25" customHeight="1" s="65"/>
    <row r="201" ht="14.25" customHeight="1" s="65"/>
    <row r="202" ht="14.25" customHeight="1" s="65"/>
    <row r="203" ht="14.25" customHeight="1" s="65"/>
    <row r="204" ht="14.25" customHeight="1" s="65"/>
    <row r="205" ht="14.25" customHeight="1" s="65"/>
    <row r="206" ht="14.25" customHeight="1" s="65"/>
    <row r="207" ht="14.25" customHeight="1" s="65"/>
    <row r="208" ht="14.25" customHeight="1" s="65"/>
    <row r="209" ht="14.25" customHeight="1" s="65"/>
    <row r="210" ht="14.25" customHeight="1" s="65"/>
    <row r="211" ht="14.25" customHeight="1" s="65"/>
    <row r="212" ht="14.25" customHeight="1" s="65"/>
    <row r="213" ht="14.25" customHeight="1" s="65"/>
    <row r="214" ht="14.25" customHeight="1" s="65"/>
    <row r="215" ht="14.25" customHeight="1" s="65"/>
    <row r="216" ht="14.25" customHeight="1" s="65"/>
    <row r="217" ht="14.25" customHeight="1" s="65"/>
    <row r="218" ht="14.25" customHeight="1" s="65"/>
    <row r="219" ht="14.25" customHeight="1" s="65"/>
    <row r="220" ht="14.25" customHeight="1" s="65"/>
    <row r="221" ht="14.25" customHeight="1" s="65"/>
    <row r="222" ht="14.25" customHeight="1" s="65"/>
    <row r="223" ht="14.25" customHeight="1" s="65"/>
    <row r="224" ht="14.25" customHeight="1" s="65"/>
    <row r="225" ht="14.25" customHeight="1" s="65"/>
    <row r="226" ht="14.25" customHeight="1" s="65"/>
    <row r="227" ht="14.25" customHeight="1" s="65"/>
    <row r="228" ht="14.25" customHeight="1" s="65"/>
    <row r="229" ht="14.25" customHeight="1" s="65"/>
    <row r="230" ht="14.25" customHeight="1" s="65"/>
    <row r="231" ht="14.25" customHeight="1" s="65"/>
    <row r="232" ht="14.25" customHeight="1" s="65"/>
    <row r="233" ht="14.25" customHeight="1" s="65"/>
    <row r="234" ht="14.25" customHeight="1" s="65"/>
    <row r="235" ht="14.25" customHeight="1" s="65"/>
    <row r="236" ht="14.25" customHeight="1" s="65"/>
    <row r="237" ht="14.25" customHeight="1" s="65"/>
    <row r="238" ht="14.25" customHeight="1" s="65"/>
    <row r="239" ht="14.25" customHeight="1" s="65"/>
    <row r="240" ht="14.25" customHeight="1" s="65"/>
    <row r="241" ht="14.25" customHeight="1" s="65"/>
    <row r="242" ht="14.25" customHeight="1" s="65"/>
    <row r="243" ht="14.25" customHeight="1" s="65"/>
    <row r="244" ht="14.25" customHeight="1" s="65"/>
    <row r="245" ht="14.25" customHeight="1" s="65"/>
    <row r="246" ht="14.25" customHeight="1" s="65"/>
    <row r="247" ht="14.25" customHeight="1" s="65"/>
    <row r="248" ht="14.25" customHeight="1" s="65"/>
    <row r="249" ht="14.25" customHeight="1" s="65"/>
    <row r="250" ht="14.25" customHeight="1" s="65"/>
    <row r="251" ht="14.25" customHeight="1" s="65"/>
    <row r="252" ht="14.25" customHeight="1" s="65"/>
    <row r="253" ht="14.25" customHeight="1" s="65"/>
    <row r="254" ht="14.25" customHeight="1" s="65"/>
    <row r="255" ht="14.25" customHeight="1" s="65"/>
    <row r="256" ht="14.25" customHeight="1" s="65"/>
    <row r="257" ht="14.25" customHeight="1" s="65"/>
    <row r="258" ht="14.25" customHeight="1" s="65"/>
    <row r="259" ht="14.25" customHeight="1" s="65"/>
    <row r="260" ht="14.25" customHeight="1" s="65"/>
    <row r="261" ht="14.25" customHeight="1" s="65"/>
    <row r="262" ht="14.25" customHeight="1" s="65"/>
    <row r="263" ht="14.25" customHeight="1" s="65"/>
    <row r="264" ht="14.25" customHeight="1" s="65"/>
    <row r="265" ht="14.25" customHeight="1" s="65"/>
    <row r="266" ht="14.25" customHeight="1" s="65"/>
    <row r="267" ht="14.25" customHeight="1" s="65"/>
    <row r="268" ht="14.25" customHeight="1" s="65"/>
    <row r="269" ht="14.25" customHeight="1" s="65"/>
    <row r="270" ht="14.25" customHeight="1" s="65"/>
    <row r="271" ht="14.25" customHeight="1" s="65"/>
    <row r="272" ht="14.25" customHeight="1" s="65"/>
    <row r="273" ht="14.25" customHeight="1" s="65"/>
    <row r="274" ht="14.25" customHeight="1" s="65"/>
    <row r="275" ht="14.25" customHeight="1" s="65"/>
    <row r="276" ht="14.25" customHeight="1" s="65"/>
    <row r="277" ht="14.25" customHeight="1" s="65"/>
    <row r="278" ht="14.25" customHeight="1" s="65"/>
    <row r="279" ht="14.25" customHeight="1" s="65"/>
    <row r="280" ht="14.25" customHeight="1" s="65"/>
    <row r="281" ht="14.25" customHeight="1" s="65"/>
    <row r="282" ht="14.25" customHeight="1" s="65"/>
    <row r="283" ht="14.25" customHeight="1" s="65"/>
    <row r="284" ht="14.25" customHeight="1" s="65"/>
    <row r="285" ht="14.25" customHeight="1" s="65"/>
    <row r="286" ht="14.25" customHeight="1" s="65"/>
    <row r="287" ht="14.25" customHeight="1" s="65"/>
    <row r="288" ht="14.25" customHeight="1" s="65"/>
    <row r="289" ht="14.25" customHeight="1" s="65"/>
    <row r="290" ht="14.25" customHeight="1" s="65"/>
    <row r="291" ht="14.25" customHeight="1" s="65"/>
    <row r="292" ht="14.25" customHeight="1" s="65"/>
    <row r="293" ht="14.25" customHeight="1" s="65"/>
    <row r="294" ht="14.25" customHeight="1" s="65"/>
    <row r="295" ht="14.25" customHeight="1" s="65"/>
    <row r="296" ht="14.25" customHeight="1" s="65"/>
    <row r="297" ht="14.25" customHeight="1" s="65"/>
    <row r="298" ht="14.25" customHeight="1" s="65"/>
    <row r="299" ht="14.25" customHeight="1" s="65"/>
    <row r="300" ht="14.25" customHeight="1" s="65"/>
    <row r="301" ht="14.25" customHeight="1" s="65"/>
    <row r="302" ht="14.25" customHeight="1" s="65"/>
    <row r="303" ht="14.25" customHeight="1" s="65"/>
    <row r="304" ht="14.25" customHeight="1" s="65"/>
    <row r="305" ht="14.25" customHeight="1" s="65"/>
    <row r="306" ht="14.25" customHeight="1" s="65"/>
    <row r="307" ht="14.25" customHeight="1" s="65"/>
    <row r="308" ht="14.25" customHeight="1" s="65"/>
    <row r="309" ht="14.25" customHeight="1" s="65"/>
    <row r="310" ht="14.25" customHeight="1" s="65"/>
    <row r="311" ht="14.25" customHeight="1" s="65"/>
    <row r="312" ht="14.25" customHeight="1" s="65"/>
    <row r="313" ht="14.25" customHeight="1" s="65"/>
    <row r="314" ht="14.25" customHeight="1" s="65"/>
    <row r="315" ht="14.25" customHeight="1" s="65"/>
    <row r="316" ht="14.25" customHeight="1" s="65"/>
    <row r="317" ht="14.25" customHeight="1" s="65"/>
    <row r="318" ht="14.25" customHeight="1" s="65"/>
    <row r="319" ht="14.25" customHeight="1" s="65"/>
    <row r="320" ht="14.25" customHeight="1" s="65"/>
    <row r="321" ht="14.25" customHeight="1" s="65"/>
    <row r="322" ht="14.25" customHeight="1" s="65"/>
    <row r="323" ht="14.25" customHeight="1" s="65"/>
    <row r="324" ht="14.25" customHeight="1" s="65"/>
    <row r="325" ht="14.25" customHeight="1" s="65"/>
    <row r="326" ht="14.25" customHeight="1" s="65"/>
    <row r="327" ht="14.25" customHeight="1" s="65"/>
    <row r="328" ht="14.25" customHeight="1" s="65"/>
    <row r="329" ht="14.25" customHeight="1" s="65"/>
    <row r="330" ht="14.25" customHeight="1" s="65"/>
    <row r="331" ht="14.25" customHeight="1" s="65"/>
    <row r="332" ht="14.25" customHeight="1" s="65"/>
    <row r="333" ht="14.25" customHeight="1" s="65"/>
    <row r="334" ht="14.25" customHeight="1" s="65"/>
    <row r="335" ht="14.25" customHeight="1" s="65"/>
    <row r="336" ht="14.25" customHeight="1" s="65"/>
    <row r="337" ht="14.25" customHeight="1" s="65"/>
    <row r="338" ht="14.25" customHeight="1" s="65"/>
    <row r="339" ht="14.25" customHeight="1" s="65"/>
    <row r="340" ht="14.25" customHeight="1" s="65"/>
    <row r="341" ht="14.25" customHeight="1" s="65"/>
    <row r="342" ht="14.25" customHeight="1" s="65"/>
    <row r="343" ht="14.25" customHeight="1" s="65"/>
    <row r="344" ht="14.25" customHeight="1" s="65"/>
    <row r="345" ht="14.25" customHeight="1" s="65"/>
    <row r="346" ht="14.25" customHeight="1" s="65"/>
    <row r="347" ht="14.25" customHeight="1" s="65"/>
    <row r="348" ht="14.25" customHeight="1" s="65"/>
    <row r="349" ht="14.25" customHeight="1" s="65"/>
    <row r="350" ht="14.25" customHeight="1" s="65"/>
    <row r="351" ht="14.25" customHeight="1" s="65"/>
    <row r="352" ht="14.25" customHeight="1" s="65"/>
    <row r="353" ht="14.25" customHeight="1" s="65"/>
    <row r="354" ht="14.25" customHeight="1" s="65"/>
    <row r="355" ht="14.25" customHeight="1" s="65"/>
    <row r="356" ht="14.25" customHeight="1" s="65"/>
    <row r="357" ht="14.25" customHeight="1" s="65"/>
    <row r="358" ht="14.25" customHeight="1" s="65"/>
    <row r="359" ht="14.25" customHeight="1" s="65"/>
    <row r="360" ht="14.25" customHeight="1" s="65"/>
    <row r="361" ht="14.25" customHeight="1" s="65"/>
    <row r="362" ht="14.25" customHeight="1" s="65"/>
    <row r="363" ht="14.25" customHeight="1" s="65"/>
    <row r="364" ht="14.25" customHeight="1" s="65"/>
    <row r="365" ht="14.25" customHeight="1" s="65"/>
    <row r="366" ht="14.25" customHeight="1" s="65"/>
    <row r="367" ht="14.25" customHeight="1" s="65"/>
    <row r="368" ht="14.25" customHeight="1" s="65"/>
    <row r="369" ht="14.25" customHeight="1" s="65"/>
    <row r="370" ht="14.25" customHeight="1" s="65"/>
    <row r="371" ht="14.25" customHeight="1" s="65"/>
    <row r="372" ht="14.25" customHeight="1" s="65"/>
    <row r="373" ht="14.25" customHeight="1" s="65"/>
    <row r="374" ht="14.25" customHeight="1" s="65"/>
    <row r="375" ht="14.25" customHeight="1" s="65"/>
    <row r="376" ht="14.25" customHeight="1" s="65"/>
    <row r="377" ht="14.25" customHeight="1" s="65"/>
    <row r="378" ht="14.25" customHeight="1" s="65"/>
    <row r="379" ht="14.25" customHeight="1" s="65"/>
    <row r="380" ht="14.25" customHeight="1" s="65"/>
    <row r="381" ht="14.25" customHeight="1" s="65"/>
    <row r="382" ht="14.25" customHeight="1" s="65"/>
    <row r="383" ht="14.25" customHeight="1" s="65"/>
    <row r="384" ht="14.25" customHeight="1" s="65"/>
    <row r="385" ht="14.25" customHeight="1" s="65"/>
    <row r="386" ht="14.25" customHeight="1" s="65"/>
    <row r="387" ht="14.25" customHeight="1" s="65"/>
    <row r="388" ht="14.25" customHeight="1" s="65"/>
    <row r="389" ht="14.25" customHeight="1" s="65"/>
    <row r="390" ht="14.25" customHeight="1" s="65"/>
    <row r="391" ht="14.25" customHeight="1" s="65"/>
    <row r="392" ht="14.25" customHeight="1" s="65"/>
    <row r="393" ht="14.25" customHeight="1" s="65"/>
    <row r="394" ht="14.25" customHeight="1" s="65"/>
    <row r="395" ht="14.25" customHeight="1" s="65"/>
    <row r="396" ht="14.25" customHeight="1" s="65"/>
    <row r="397" ht="14.25" customHeight="1" s="65"/>
    <row r="398" ht="14.25" customHeight="1" s="65"/>
    <row r="399" ht="14.25" customHeight="1" s="65"/>
    <row r="400" ht="14.25" customHeight="1" s="65"/>
    <row r="401" ht="14.25" customHeight="1" s="65"/>
    <row r="402" ht="14.25" customHeight="1" s="65"/>
    <row r="403" ht="14.25" customHeight="1" s="65"/>
    <row r="404" ht="14.25" customHeight="1" s="65"/>
    <row r="405" ht="14.25" customHeight="1" s="65"/>
    <row r="406" ht="14.25" customHeight="1" s="65"/>
    <row r="407" ht="14.25" customHeight="1" s="65"/>
    <row r="408" ht="14.25" customHeight="1" s="65"/>
    <row r="409" ht="14.25" customHeight="1" s="65"/>
    <row r="410" ht="14.25" customHeight="1" s="65"/>
    <row r="411" ht="14.25" customHeight="1" s="65"/>
    <row r="412" ht="14.25" customHeight="1" s="65"/>
    <row r="413" ht="14.25" customHeight="1" s="65"/>
    <row r="414" ht="14.25" customHeight="1" s="65"/>
    <row r="415" ht="14.25" customHeight="1" s="65"/>
    <row r="416" ht="14.25" customHeight="1" s="65"/>
    <row r="417" ht="14.25" customHeight="1" s="65"/>
    <row r="418" ht="14.25" customHeight="1" s="65"/>
    <row r="419" ht="14.25" customHeight="1" s="65"/>
    <row r="420" ht="14.25" customHeight="1" s="65"/>
    <row r="421" ht="14.25" customHeight="1" s="65"/>
    <row r="422" ht="14.25" customHeight="1" s="65"/>
    <row r="423" ht="14.25" customHeight="1" s="65"/>
    <row r="424" ht="14.25" customHeight="1" s="65"/>
    <row r="425" ht="14.25" customHeight="1" s="65"/>
    <row r="426" ht="14.25" customHeight="1" s="65"/>
    <row r="427" ht="14.25" customHeight="1" s="65"/>
    <row r="428" ht="14.25" customHeight="1" s="65"/>
    <row r="429" ht="14.25" customHeight="1" s="65"/>
    <row r="430" ht="14.25" customHeight="1" s="65"/>
    <row r="431" ht="14.25" customHeight="1" s="65"/>
    <row r="432" ht="14.25" customHeight="1" s="65"/>
    <row r="433" ht="14.25" customHeight="1" s="65"/>
    <row r="434" ht="14.25" customHeight="1" s="65"/>
    <row r="435" ht="14.25" customHeight="1" s="65"/>
    <row r="436" ht="14.25" customHeight="1" s="65"/>
    <row r="437" ht="14.25" customHeight="1" s="65"/>
    <row r="438" ht="14.25" customHeight="1" s="65"/>
    <row r="439" ht="14.25" customHeight="1" s="65"/>
    <row r="440" ht="14.25" customHeight="1" s="65"/>
    <row r="441" ht="14.25" customHeight="1" s="65"/>
    <row r="442" ht="14.25" customHeight="1" s="65"/>
    <row r="443" ht="14.25" customHeight="1" s="65"/>
    <row r="444" ht="14.25" customHeight="1" s="65"/>
    <row r="445" ht="14.25" customHeight="1" s="65"/>
    <row r="446" ht="14.25" customHeight="1" s="65"/>
    <row r="447" ht="14.25" customHeight="1" s="65"/>
    <row r="448" ht="14.25" customHeight="1" s="65"/>
    <row r="449" ht="14.25" customHeight="1" s="65"/>
    <row r="450" ht="14.25" customHeight="1" s="65"/>
    <row r="451" ht="14.25" customHeight="1" s="65"/>
    <row r="452" ht="14.25" customHeight="1" s="65"/>
    <row r="453" ht="14.25" customHeight="1" s="65"/>
    <row r="454" ht="14.25" customHeight="1" s="65"/>
    <row r="455" ht="14.25" customHeight="1" s="65"/>
    <row r="456" ht="14.25" customHeight="1" s="65"/>
    <row r="457" ht="14.25" customHeight="1" s="65"/>
    <row r="458" ht="14.25" customHeight="1" s="65"/>
    <row r="459" ht="14.25" customHeight="1" s="65"/>
    <row r="460" ht="14.25" customHeight="1" s="65"/>
    <row r="461" ht="14.25" customHeight="1" s="65"/>
    <row r="462" ht="14.25" customHeight="1" s="65"/>
    <row r="463" ht="14.25" customHeight="1" s="65"/>
    <row r="464" ht="14.25" customHeight="1" s="65"/>
    <row r="465" ht="14.25" customHeight="1" s="65"/>
    <row r="466" ht="14.25" customHeight="1" s="65"/>
    <row r="467" ht="14.25" customHeight="1" s="65"/>
    <row r="468" ht="14.25" customHeight="1" s="65"/>
    <row r="469" ht="14.25" customHeight="1" s="65"/>
    <row r="470" ht="14.25" customHeight="1" s="65"/>
    <row r="471" ht="14.25" customHeight="1" s="65"/>
    <row r="472" ht="14.25" customHeight="1" s="65"/>
    <row r="473" ht="14.25" customHeight="1" s="65"/>
    <row r="474" ht="14.25" customHeight="1" s="65"/>
    <row r="475" ht="14.25" customHeight="1" s="65"/>
    <row r="476" ht="14.25" customHeight="1" s="65"/>
    <row r="477" ht="14.25" customHeight="1" s="65"/>
    <row r="478" ht="14.25" customHeight="1" s="65"/>
    <row r="479" ht="14.25" customHeight="1" s="65"/>
    <row r="480" ht="14.25" customHeight="1" s="65"/>
    <row r="481" ht="14.25" customHeight="1" s="65"/>
    <row r="482" ht="14.25" customHeight="1" s="65"/>
    <row r="483" ht="14.25" customHeight="1" s="65"/>
    <row r="484" ht="14.25" customHeight="1" s="65"/>
    <row r="485" ht="14.25" customHeight="1" s="65"/>
    <row r="486" ht="14.25" customHeight="1" s="65"/>
    <row r="487" ht="14.25" customHeight="1" s="65"/>
    <row r="488" ht="14.25" customHeight="1" s="65"/>
    <row r="489" ht="14.25" customHeight="1" s="65"/>
    <row r="490" ht="14.25" customHeight="1" s="65"/>
    <row r="491" ht="14.25" customHeight="1" s="65"/>
    <row r="492" ht="14.25" customHeight="1" s="65"/>
    <row r="493" ht="14.25" customHeight="1" s="65"/>
    <row r="494" ht="14.25" customHeight="1" s="65"/>
    <row r="495" ht="14.25" customHeight="1" s="65"/>
    <row r="496" ht="14.25" customHeight="1" s="65"/>
    <row r="497" ht="14.25" customHeight="1" s="65"/>
    <row r="498" ht="14.25" customHeight="1" s="65"/>
    <row r="499" ht="14.25" customHeight="1" s="65"/>
    <row r="500" ht="14.25" customHeight="1" s="65"/>
    <row r="501" ht="14.25" customHeight="1" s="65"/>
    <row r="502" ht="14.25" customHeight="1" s="65"/>
    <row r="503" ht="14.25" customHeight="1" s="65"/>
    <row r="504" ht="14.25" customHeight="1" s="65"/>
    <row r="505" ht="14.25" customHeight="1" s="65"/>
    <row r="506" ht="14.25" customHeight="1" s="65"/>
    <row r="507" ht="14.25" customHeight="1" s="65"/>
    <row r="508" ht="14.25" customHeight="1" s="65"/>
    <row r="509" ht="14.25" customHeight="1" s="65"/>
    <row r="510" ht="14.25" customHeight="1" s="65"/>
    <row r="511" ht="14.25" customHeight="1" s="65"/>
    <row r="512" ht="14.25" customHeight="1" s="65"/>
    <row r="513" ht="14.25" customHeight="1" s="65"/>
    <row r="514" ht="14.25" customHeight="1" s="65"/>
    <row r="515" ht="14.25" customHeight="1" s="65"/>
    <row r="516" ht="14.25" customHeight="1" s="65"/>
    <row r="517" ht="14.25" customHeight="1" s="65"/>
    <row r="518" ht="14.25" customHeight="1" s="65"/>
    <row r="519" ht="14.25" customHeight="1" s="65"/>
    <row r="520" ht="14.25" customHeight="1" s="65"/>
    <row r="521" ht="14.25" customHeight="1" s="65"/>
    <row r="522" ht="14.25" customHeight="1" s="65"/>
    <row r="523" ht="14.25" customHeight="1" s="65"/>
    <row r="524" ht="14.25" customHeight="1" s="65"/>
    <row r="525" ht="14.25" customHeight="1" s="65"/>
    <row r="526" ht="14.25" customHeight="1" s="65"/>
    <row r="527" ht="14.25" customHeight="1" s="65"/>
    <row r="528" ht="14.25" customHeight="1" s="65"/>
    <row r="529" ht="14.25" customHeight="1" s="65"/>
    <row r="530" ht="14.25" customHeight="1" s="65"/>
    <row r="531" ht="14.25" customHeight="1" s="65"/>
    <row r="532" ht="14.25" customHeight="1" s="65"/>
    <row r="533" ht="14.25" customHeight="1" s="65"/>
    <row r="534" ht="14.25" customHeight="1" s="65"/>
    <row r="535" ht="14.25" customHeight="1" s="65"/>
    <row r="536" ht="14.25" customHeight="1" s="65"/>
    <row r="537" ht="14.25" customHeight="1" s="65"/>
    <row r="538" ht="14.25" customHeight="1" s="65"/>
    <row r="539" ht="14.25" customHeight="1" s="65"/>
    <row r="540" ht="14.25" customHeight="1" s="65"/>
    <row r="541" ht="14.25" customHeight="1" s="65"/>
    <row r="542" ht="14.25" customHeight="1" s="65"/>
    <row r="543" ht="14.25" customHeight="1" s="65"/>
    <row r="544" ht="14.25" customHeight="1" s="65"/>
    <row r="545" ht="14.25" customHeight="1" s="65"/>
    <row r="546" ht="14.25" customHeight="1" s="65"/>
    <row r="547" ht="14.25" customHeight="1" s="65"/>
    <row r="548" ht="14.25" customHeight="1" s="65"/>
    <row r="549" ht="14.25" customHeight="1" s="65"/>
    <row r="550" ht="14.25" customHeight="1" s="65"/>
    <row r="551" ht="14.25" customHeight="1" s="65"/>
    <row r="552" ht="14.25" customHeight="1" s="65"/>
    <row r="553" ht="14.25" customHeight="1" s="65"/>
    <row r="554" ht="14.25" customHeight="1" s="65"/>
    <row r="555" ht="14.25" customHeight="1" s="65"/>
    <row r="556" ht="14.25" customHeight="1" s="65"/>
    <row r="557" ht="14.25" customHeight="1" s="65"/>
    <row r="558" ht="14.25" customHeight="1" s="65"/>
    <row r="559" ht="14.25" customHeight="1" s="65"/>
    <row r="560" ht="14.25" customHeight="1" s="65"/>
    <row r="561" ht="14.25" customHeight="1" s="65"/>
    <row r="562" ht="14.25" customHeight="1" s="65"/>
    <row r="563" ht="14.25" customHeight="1" s="65"/>
    <row r="564" ht="14.25" customHeight="1" s="65"/>
    <row r="565" ht="14.25" customHeight="1" s="65"/>
    <row r="566" ht="14.25" customHeight="1" s="65"/>
    <row r="567" ht="14.25" customHeight="1" s="65"/>
    <row r="568" ht="14.25" customHeight="1" s="65"/>
    <row r="569" ht="14.25" customHeight="1" s="65"/>
    <row r="570" ht="14.25" customHeight="1" s="65"/>
    <row r="571" ht="14.25" customHeight="1" s="65"/>
    <row r="572" ht="14.25" customHeight="1" s="65"/>
    <row r="573" ht="14.25" customHeight="1" s="65"/>
    <row r="574" ht="14.25" customHeight="1" s="65"/>
    <row r="575" ht="14.25" customHeight="1" s="65"/>
    <row r="576" ht="14.25" customHeight="1" s="65"/>
    <row r="577" ht="14.25" customHeight="1" s="65"/>
    <row r="578" ht="14.25" customHeight="1" s="65"/>
    <row r="579" ht="14.25" customHeight="1" s="65"/>
    <row r="580" ht="14.25" customHeight="1" s="65"/>
    <row r="581" ht="14.25" customHeight="1" s="65"/>
    <row r="582" ht="14.25" customHeight="1" s="65"/>
    <row r="583" ht="14.25" customHeight="1" s="65"/>
    <row r="584" ht="14.25" customHeight="1" s="65"/>
    <row r="585" ht="14.25" customHeight="1" s="65"/>
    <row r="586" ht="14.25" customHeight="1" s="65"/>
    <row r="587" ht="14.25" customHeight="1" s="65"/>
    <row r="588" ht="14.25" customHeight="1" s="65"/>
    <row r="589" ht="14.25" customHeight="1" s="65"/>
    <row r="590" ht="14.25" customHeight="1" s="65"/>
    <row r="591" ht="14.25" customHeight="1" s="65"/>
    <row r="592" ht="14.25" customHeight="1" s="65"/>
    <row r="593" ht="14.25" customHeight="1" s="65"/>
    <row r="594" ht="14.25" customHeight="1" s="65"/>
    <row r="595" ht="14.25" customHeight="1" s="65"/>
    <row r="596" ht="14.25" customHeight="1" s="65"/>
    <row r="597" ht="14.25" customHeight="1" s="65"/>
    <row r="598" ht="14.25" customHeight="1" s="65"/>
    <row r="599" ht="14.25" customHeight="1" s="65"/>
    <row r="600" ht="14.25" customHeight="1" s="65"/>
    <row r="601" ht="14.25" customHeight="1" s="65"/>
    <row r="602" ht="14.25" customHeight="1" s="65"/>
    <row r="603" ht="14.25" customHeight="1" s="65"/>
    <row r="604" ht="14.25" customHeight="1" s="65"/>
    <row r="605" ht="14.25" customHeight="1" s="65"/>
    <row r="606" ht="14.25" customHeight="1" s="65"/>
    <row r="607" ht="14.25" customHeight="1" s="65"/>
    <row r="608" ht="14.25" customHeight="1" s="65"/>
    <row r="609" ht="14.25" customHeight="1" s="65"/>
    <row r="610" ht="14.25" customHeight="1" s="65"/>
    <row r="611" ht="14.25" customHeight="1" s="65"/>
    <row r="612" ht="14.25" customHeight="1" s="65"/>
    <row r="613" ht="14.25" customHeight="1" s="65"/>
    <row r="614" ht="14.25" customHeight="1" s="65"/>
    <row r="615" ht="14.25" customHeight="1" s="65"/>
    <row r="616" ht="14.25" customHeight="1" s="65"/>
    <row r="617" ht="14.25" customHeight="1" s="65"/>
    <row r="618" ht="14.25" customHeight="1" s="65"/>
    <row r="619" ht="14.25" customHeight="1" s="65"/>
    <row r="620" ht="14.25" customHeight="1" s="65"/>
    <row r="621" ht="14.25" customHeight="1" s="65"/>
    <row r="622" ht="14.25" customHeight="1" s="65"/>
    <row r="623" ht="14.25" customHeight="1" s="65"/>
    <row r="624" ht="14.25" customHeight="1" s="65"/>
    <row r="625" ht="14.25" customHeight="1" s="65"/>
    <row r="626" ht="14.25" customHeight="1" s="65"/>
    <row r="627" ht="14.25" customHeight="1" s="65"/>
    <row r="628" ht="14.25" customHeight="1" s="65"/>
    <row r="629" ht="14.25" customHeight="1" s="65"/>
    <row r="630" ht="14.25" customHeight="1" s="65"/>
    <row r="631" ht="14.25" customHeight="1" s="65"/>
    <row r="632" ht="14.25" customHeight="1" s="65"/>
    <row r="633" ht="14.25" customHeight="1" s="65"/>
    <row r="634" ht="14.25" customHeight="1" s="65"/>
    <row r="635" ht="14.25" customHeight="1" s="65"/>
    <row r="636" ht="14.25" customHeight="1" s="65"/>
    <row r="637" ht="14.25" customHeight="1" s="65"/>
    <row r="638" ht="14.25" customHeight="1" s="65"/>
    <row r="639" ht="14.25" customHeight="1" s="65"/>
    <row r="640" ht="14.25" customHeight="1" s="65"/>
    <row r="641" ht="14.25" customHeight="1" s="65"/>
    <row r="642" ht="14.25" customHeight="1" s="65"/>
    <row r="643" ht="14.25" customHeight="1" s="65"/>
    <row r="644" ht="14.25" customHeight="1" s="65"/>
    <row r="645" ht="14.25" customHeight="1" s="65"/>
    <row r="646" ht="14.25" customHeight="1" s="65"/>
    <row r="647" ht="14.25" customHeight="1" s="65"/>
    <row r="648" ht="14.25" customHeight="1" s="65"/>
    <row r="649" ht="14.25" customHeight="1" s="65"/>
    <row r="650" ht="14.25" customHeight="1" s="65"/>
    <row r="651" ht="14.25" customHeight="1" s="65"/>
    <row r="652" ht="14.25" customHeight="1" s="65"/>
    <row r="653" ht="14.25" customHeight="1" s="65"/>
    <row r="654" ht="14.25" customHeight="1" s="65"/>
    <row r="655" ht="14.25" customHeight="1" s="65"/>
    <row r="656" ht="14.25" customHeight="1" s="65"/>
    <row r="657" ht="14.25" customHeight="1" s="65"/>
    <row r="658" ht="14.25" customHeight="1" s="65"/>
    <row r="659" ht="14.25" customHeight="1" s="65"/>
    <row r="660" ht="14.25" customHeight="1" s="65"/>
    <row r="661" ht="14.25" customHeight="1" s="65"/>
    <row r="662" ht="14.25" customHeight="1" s="65"/>
    <row r="663" ht="14.25" customHeight="1" s="65"/>
    <row r="664" ht="14.25" customHeight="1" s="65"/>
    <row r="665" ht="14.25" customHeight="1" s="65"/>
    <row r="666" ht="14.25" customHeight="1" s="65"/>
    <row r="667" ht="14.25" customHeight="1" s="65"/>
    <row r="668" ht="14.25" customHeight="1" s="65"/>
    <row r="669" ht="14.25" customHeight="1" s="65"/>
    <row r="670" ht="14.25" customHeight="1" s="65"/>
    <row r="671" ht="14.25" customHeight="1" s="65"/>
    <row r="672" ht="14.25" customHeight="1" s="65"/>
    <row r="673" ht="14.25" customHeight="1" s="65"/>
    <row r="674" ht="14.25" customHeight="1" s="65"/>
    <row r="675" ht="14.25" customHeight="1" s="65"/>
    <row r="676" ht="14.25" customHeight="1" s="65"/>
    <row r="677" ht="14.25" customHeight="1" s="65"/>
    <row r="678" ht="14.25" customHeight="1" s="65"/>
    <row r="679" ht="14.25" customHeight="1" s="65"/>
    <row r="680" ht="14.25" customHeight="1" s="65"/>
    <row r="681" ht="14.25" customHeight="1" s="65"/>
    <row r="682" ht="14.25" customHeight="1" s="65"/>
    <row r="683" ht="14.25" customHeight="1" s="65"/>
    <row r="684" ht="14.25" customHeight="1" s="65"/>
    <row r="685" ht="14.25" customHeight="1" s="65"/>
    <row r="686" ht="14.25" customHeight="1" s="65"/>
    <row r="687" ht="14.25" customHeight="1" s="65"/>
    <row r="688" ht="14.25" customHeight="1" s="65"/>
    <row r="689" ht="14.25" customHeight="1" s="65"/>
    <row r="690" ht="14.25" customHeight="1" s="65"/>
    <row r="691" ht="14.25" customHeight="1" s="65"/>
    <row r="692" ht="14.25" customHeight="1" s="65"/>
    <row r="693" ht="14.25" customHeight="1" s="65"/>
    <row r="694" ht="14.25" customHeight="1" s="65"/>
    <row r="695" ht="14.25" customHeight="1" s="65"/>
    <row r="696" ht="14.25" customHeight="1" s="65"/>
    <row r="697" ht="14.25" customHeight="1" s="65"/>
    <row r="698" ht="14.25" customHeight="1" s="65"/>
    <row r="699" ht="14.25" customHeight="1" s="65"/>
    <row r="700" ht="14.25" customHeight="1" s="65"/>
    <row r="701" ht="14.25" customHeight="1" s="65"/>
    <row r="702" ht="14.25" customHeight="1" s="65"/>
    <row r="703" ht="14.25" customHeight="1" s="65"/>
    <row r="704" ht="14.25" customHeight="1" s="65"/>
    <row r="705" ht="14.25" customHeight="1" s="65"/>
    <row r="706" ht="14.25" customHeight="1" s="65"/>
    <row r="707" ht="14.25" customHeight="1" s="65"/>
    <row r="708" ht="14.25" customHeight="1" s="65"/>
    <row r="709" ht="14.25" customHeight="1" s="65"/>
    <row r="710" ht="14.25" customHeight="1" s="65"/>
    <row r="711" ht="14.25" customHeight="1" s="65"/>
    <row r="712" ht="14.25" customHeight="1" s="65"/>
    <row r="713" ht="14.25" customHeight="1" s="65"/>
    <row r="714" ht="14.25" customHeight="1" s="65"/>
    <row r="715" ht="14.25" customHeight="1" s="65"/>
    <row r="716" ht="14.25" customHeight="1" s="65"/>
    <row r="717" ht="14.25" customHeight="1" s="65"/>
    <row r="718" ht="14.25" customHeight="1" s="65"/>
    <row r="719" ht="14.25" customHeight="1" s="65"/>
    <row r="720" ht="14.25" customHeight="1" s="65"/>
    <row r="721" ht="14.25" customHeight="1" s="65"/>
    <row r="722" ht="14.25" customHeight="1" s="65"/>
    <row r="723" ht="14.25" customHeight="1" s="65"/>
    <row r="724" ht="14.25" customHeight="1" s="65"/>
    <row r="725" ht="14.25" customHeight="1" s="65"/>
    <row r="726" ht="14.25" customHeight="1" s="65"/>
    <row r="727" ht="14.25" customHeight="1" s="65"/>
    <row r="728" ht="14.25" customHeight="1" s="65"/>
    <row r="729" ht="14.25" customHeight="1" s="65"/>
    <row r="730" ht="14.25" customHeight="1" s="65"/>
    <row r="731" ht="14.25" customHeight="1" s="65"/>
    <row r="732" ht="14.25" customHeight="1" s="65"/>
    <row r="733" ht="14.25" customHeight="1" s="65"/>
    <row r="734" ht="14.25" customHeight="1" s="65"/>
    <row r="735" ht="14.25" customHeight="1" s="65"/>
    <row r="736" ht="14.25" customHeight="1" s="65"/>
    <row r="737" ht="14.25" customHeight="1" s="65"/>
    <row r="738" ht="14.25" customHeight="1" s="65"/>
    <row r="739" ht="14.25" customHeight="1" s="65"/>
    <row r="740" ht="14.25" customHeight="1" s="65"/>
    <row r="741" ht="14.25" customHeight="1" s="65"/>
    <row r="742" ht="14.25" customHeight="1" s="65"/>
    <row r="743" ht="14.25" customHeight="1" s="65"/>
    <row r="744" ht="14.25" customHeight="1" s="65"/>
    <row r="745" ht="14.25" customHeight="1" s="65"/>
    <row r="746" ht="14.25" customHeight="1" s="65"/>
    <row r="747" ht="14.25" customHeight="1" s="65"/>
    <row r="748" ht="14.25" customHeight="1" s="65"/>
    <row r="749" ht="14.25" customHeight="1" s="65"/>
    <row r="750" ht="14.25" customHeight="1" s="65"/>
    <row r="751" ht="14.25" customHeight="1" s="65"/>
    <row r="752" ht="14.25" customHeight="1" s="65"/>
    <row r="753" ht="14.25" customHeight="1" s="65"/>
    <row r="754" ht="14.25" customHeight="1" s="65"/>
    <row r="755" ht="14.25" customHeight="1" s="65"/>
    <row r="756" ht="14.25" customHeight="1" s="65"/>
    <row r="757" ht="14.25" customHeight="1" s="65"/>
    <row r="758" ht="14.25" customHeight="1" s="65"/>
    <row r="759" ht="14.25" customHeight="1" s="65"/>
    <row r="760" ht="14.25" customHeight="1" s="65"/>
    <row r="761" ht="14.25" customHeight="1" s="65"/>
    <row r="762" ht="14.25" customHeight="1" s="65"/>
    <row r="763" ht="14.25" customHeight="1" s="65"/>
    <row r="764" ht="14.25" customHeight="1" s="65"/>
    <row r="765" ht="14.25" customHeight="1" s="65"/>
    <row r="766" ht="14.25" customHeight="1" s="65"/>
    <row r="767" ht="14.25" customHeight="1" s="65"/>
    <row r="768" ht="14.25" customHeight="1" s="65"/>
    <row r="769" ht="14.25" customHeight="1" s="65"/>
    <row r="770" ht="14.25" customHeight="1" s="65"/>
    <row r="771" ht="14.25" customHeight="1" s="65"/>
    <row r="772" ht="14.25" customHeight="1" s="65"/>
    <row r="773" ht="14.25" customHeight="1" s="65"/>
    <row r="774" ht="14.25" customHeight="1" s="65"/>
    <row r="775" ht="14.25" customHeight="1" s="65"/>
    <row r="776" ht="14.25" customHeight="1" s="65"/>
    <row r="777" ht="14.25" customHeight="1" s="65"/>
    <row r="778" ht="14.25" customHeight="1" s="65"/>
    <row r="779" ht="14.25" customHeight="1" s="65"/>
    <row r="780" ht="14.25" customHeight="1" s="65"/>
    <row r="781" ht="14.25" customHeight="1" s="65"/>
    <row r="782" ht="14.25" customHeight="1" s="65"/>
    <row r="783" ht="14.25" customHeight="1" s="65"/>
    <row r="784" ht="14.25" customHeight="1" s="65"/>
    <row r="785" ht="14.25" customHeight="1" s="65"/>
    <row r="786" ht="14.25" customHeight="1" s="65"/>
    <row r="787" ht="14.25" customHeight="1" s="65"/>
    <row r="788" ht="14.25" customHeight="1" s="65"/>
    <row r="789" ht="14.25" customHeight="1" s="65"/>
    <row r="790" ht="14.25" customHeight="1" s="65"/>
    <row r="791" ht="14.25" customHeight="1" s="65"/>
    <row r="792" ht="14.25" customHeight="1" s="65"/>
    <row r="793" ht="14.25" customHeight="1" s="65"/>
    <row r="794" ht="14.25" customHeight="1" s="65"/>
    <row r="795" ht="14.25" customHeight="1" s="65"/>
    <row r="796" ht="14.25" customHeight="1" s="65"/>
    <row r="797" ht="14.25" customHeight="1" s="65"/>
    <row r="798" ht="14.25" customHeight="1" s="65"/>
    <row r="799" ht="14.25" customHeight="1" s="65"/>
    <row r="800" ht="14.25" customHeight="1" s="65"/>
    <row r="801" ht="14.25" customHeight="1" s="65"/>
    <row r="802" ht="14.25" customHeight="1" s="65"/>
    <row r="803" ht="14.25" customHeight="1" s="65"/>
    <row r="804" ht="14.25" customHeight="1" s="65"/>
    <row r="805" ht="14.25" customHeight="1" s="65"/>
    <row r="806" ht="14.25" customHeight="1" s="65"/>
    <row r="807" ht="14.25" customHeight="1" s="65"/>
    <row r="808" ht="14.25" customHeight="1" s="65"/>
    <row r="809" ht="14.25" customHeight="1" s="65"/>
    <row r="810" ht="14.25" customHeight="1" s="65"/>
    <row r="811" ht="14.25" customHeight="1" s="65"/>
    <row r="812" ht="14.25" customHeight="1" s="65"/>
    <row r="813" ht="14.25" customHeight="1" s="65"/>
    <row r="814" ht="14.25" customHeight="1" s="65"/>
    <row r="815" ht="14.25" customHeight="1" s="65"/>
    <row r="816" ht="14.25" customHeight="1" s="65"/>
    <row r="817" ht="14.25" customHeight="1" s="65"/>
    <row r="818" ht="14.25" customHeight="1" s="65"/>
    <row r="819" ht="14.25" customHeight="1" s="65"/>
    <row r="820" ht="14.25" customHeight="1" s="65"/>
    <row r="821" ht="14.25" customHeight="1" s="65"/>
    <row r="822" ht="14.25" customHeight="1" s="65"/>
    <row r="823" ht="14.25" customHeight="1" s="65"/>
    <row r="824" ht="14.25" customHeight="1" s="65"/>
    <row r="825" ht="14.25" customHeight="1" s="65"/>
    <row r="826" ht="14.25" customHeight="1" s="65"/>
    <row r="827" ht="14.25" customHeight="1" s="65"/>
    <row r="828" ht="14.25" customHeight="1" s="65"/>
    <row r="829" ht="14.25" customHeight="1" s="65"/>
    <row r="830" ht="14.25" customHeight="1" s="65"/>
    <row r="831" ht="14.25" customHeight="1" s="65"/>
    <row r="832" ht="14.25" customHeight="1" s="65"/>
    <row r="833" ht="14.25" customHeight="1" s="65"/>
    <row r="834" ht="14.25" customHeight="1" s="65"/>
    <row r="835" ht="14.25" customHeight="1" s="65"/>
    <row r="836" ht="14.25" customHeight="1" s="65"/>
    <row r="837" ht="14.25" customHeight="1" s="65"/>
    <row r="838" ht="14.25" customHeight="1" s="65"/>
    <row r="839" ht="14.25" customHeight="1" s="65"/>
    <row r="840" ht="14.25" customHeight="1" s="65"/>
    <row r="841" ht="14.25" customHeight="1" s="65"/>
    <row r="842" ht="14.25" customHeight="1" s="65"/>
    <row r="843" ht="14.25" customHeight="1" s="65"/>
    <row r="844" ht="14.25" customHeight="1" s="65"/>
    <row r="845" ht="14.25" customHeight="1" s="65"/>
    <row r="846" ht="14.25" customHeight="1" s="65"/>
    <row r="847" ht="14.25" customHeight="1" s="65"/>
    <row r="848" ht="14.25" customHeight="1" s="65"/>
    <row r="849" ht="14.25" customHeight="1" s="65"/>
    <row r="850" ht="14.25" customHeight="1" s="65"/>
    <row r="851" ht="14.25" customHeight="1" s="65"/>
    <row r="852" ht="14.25" customHeight="1" s="65"/>
    <row r="853" ht="14.25" customHeight="1" s="65"/>
    <row r="854" ht="14.25" customHeight="1" s="65"/>
    <row r="855" ht="14.25" customHeight="1" s="65"/>
    <row r="856" ht="14.25" customHeight="1" s="65"/>
    <row r="857" ht="14.25" customHeight="1" s="65"/>
    <row r="858" ht="14.25" customHeight="1" s="65"/>
    <row r="859" ht="14.25" customHeight="1" s="65"/>
    <row r="860" ht="14.25" customHeight="1" s="65"/>
    <row r="861" ht="14.25" customHeight="1" s="65"/>
    <row r="862" ht="14.25" customHeight="1" s="65"/>
    <row r="863" ht="14.25" customHeight="1" s="65"/>
    <row r="864" ht="14.25" customHeight="1" s="65"/>
    <row r="865" ht="14.25" customHeight="1" s="65"/>
    <row r="866" ht="14.25" customHeight="1" s="65"/>
    <row r="867" ht="14.25" customHeight="1" s="65"/>
    <row r="868" ht="14.25" customHeight="1" s="65"/>
    <row r="869" ht="14.25" customHeight="1" s="65"/>
    <row r="870" ht="14.25" customHeight="1" s="65"/>
    <row r="871" ht="14.25" customHeight="1" s="65"/>
    <row r="872" ht="14.25" customHeight="1" s="65"/>
    <row r="873" ht="14.25" customHeight="1" s="65"/>
    <row r="874" ht="14.25" customHeight="1" s="65"/>
    <row r="875" ht="14.25" customHeight="1" s="65"/>
    <row r="876" ht="14.25" customHeight="1" s="65"/>
    <row r="877" ht="14.25" customHeight="1" s="65"/>
    <row r="878" ht="14.25" customHeight="1" s="65"/>
    <row r="879" ht="14.25" customHeight="1" s="65"/>
    <row r="880" ht="14.25" customHeight="1" s="65"/>
    <row r="881" ht="14.25" customHeight="1" s="65"/>
    <row r="882" ht="14.25" customHeight="1" s="65"/>
    <row r="883" ht="14.25" customHeight="1" s="65"/>
    <row r="884" ht="14.25" customHeight="1" s="65"/>
    <row r="885" ht="14.25" customHeight="1" s="65"/>
    <row r="886" ht="14.25" customHeight="1" s="65"/>
    <row r="887" ht="14.25" customHeight="1" s="65"/>
    <row r="888" ht="14.25" customHeight="1" s="65"/>
    <row r="889" ht="14.25" customHeight="1" s="65"/>
    <row r="890" ht="14.25" customHeight="1" s="65"/>
    <row r="891" ht="14.25" customHeight="1" s="65"/>
    <row r="892" ht="14.25" customHeight="1" s="65"/>
    <row r="893" ht="14.25" customHeight="1" s="65"/>
    <row r="894" ht="14.25" customHeight="1" s="65"/>
    <row r="895" ht="14.25" customHeight="1" s="65"/>
    <row r="896" ht="14.25" customHeight="1" s="65"/>
    <row r="897" ht="14.25" customHeight="1" s="65"/>
    <row r="898" ht="14.25" customHeight="1" s="65"/>
    <row r="899" ht="14.25" customHeight="1" s="65"/>
    <row r="900" ht="14.25" customHeight="1" s="65"/>
    <row r="901" ht="14.25" customHeight="1" s="65"/>
    <row r="902" ht="14.25" customHeight="1" s="65"/>
    <row r="903" ht="14.25" customHeight="1" s="65"/>
    <row r="904" ht="14.25" customHeight="1" s="65"/>
    <row r="905" ht="14.25" customHeight="1" s="65"/>
    <row r="906" ht="14.25" customHeight="1" s="65"/>
    <row r="907" ht="14.25" customHeight="1" s="65"/>
    <row r="908" ht="14.25" customHeight="1" s="65"/>
    <row r="909" ht="14.25" customHeight="1" s="65"/>
    <row r="910" ht="14.25" customHeight="1" s="65"/>
    <row r="911" ht="14.25" customHeight="1" s="65"/>
    <row r="912" ht="14.25" customHeight="1" s="65"/>
    <row r="913" ht="14.25" customHeight="1" s="65"/>
    <row r="914" ht="14.25" customHeight="1" s="65"/>
    <row r="915" ht="14.25" customHeight="1" s="65"/>
    <row r="916" ht="14.25" customHeight="1" s="65"/>
    <row r="917" ht="14.25" customHeight="1" s="65"/>
    <row r="918" ht="14.25" customHeight="1" s="65"/>
    <row r="919" ht="14.25" customHeight="1" s="65"/>
    <row r="920" ht="14.25" customHeight="1" s="65"/>
    <row r="921" ht="14.25" customHeight="1" s="65"/>
    <row r="922" ht="14.25" customHeight="1" s="65"/>
    <row r="923" ht="14.25" customHeight="1" s="65"/>
    <row r="924" ht="14.25" customHeight="1" s="65"/>
    <row r="925" ht="14.25" customHeight="1" s="65"/>
    <row r="926" ht="14.25" customHeight="1" s="65"/>
    <row r="927" ht="14.25" customHeight="1" s="65"/>
    <row r="928" ht="14.25" customHeight="1" s="65"/>
    <row r="929" ht="14.25" customHeight="1" s="65"/>
    <row r="930" ht="14.25" customHeight="1" s="65"/>
    <row r="931" ht="14.25" customHeight="1" s="65"/>
    <row r="932" ht="14.25" customHeight="1" s="65"/>
    <row r="933" ht="14.25" customHeight="1" s="65"/>
    <row r="934" ht="14.25" customHeight="1" s="65"/>
    <row r="935" ht="14.25" customHeight="1" s="65"/>
    <row r="936" ht="14.25" customHeight="1" s="65"/>
    <row r="937" ht="14.25" customHeight="1" s="65"/>
    <row r="938" ht="14.25" customHeight="1" s="65"/>
    <row r="939" ht="14.25" customHeight="1" s="65"/>
    <row r="940" ht="14.25" customHeight="1" s="65"/>
    <row r="941" ht="14.25" customHeight="1" s="65"/>
    <row r="942" ht="14.25" customHeight="1" s="65"/>
    <row r="943" ht="14.25" customHeight="1" s="65"/>
    <row r="944" ht="14.25" customHeight="1" s="65"/>
    <row r="945" ht="14.25" customHeight="1" s="65"/>
    <row r="946" ht="14.25" customHeight="1" s="65"/>
    <row r="947" ht="14.25" customHeight="1" s="65"/>
    <row r="948" ht="14.25" customHeight="1" s="65"/>
    <row r="949" ht="14.25" customHeight="1" s="65"/>
    <row r="950" ht="14.25" customHeight="1" s="65"/>
    <row r="951" ht="14.25" customHeight="1" s="65"/>
    <row r="952" ht="14.25" customHeight="1" s="65"/>
    <row r="953" ht="14.25" customHeight="1" s="65"/>
    <row r="954" ht="14.25" customHeight="1" s="65"/>
    <row r="955" ht="14.25" customHeight="1" s="65"/>
    <row r="956" ht="14.25" customHeight="1" s="65"/>
    <row r="957" ht="14.25" customHeight="1" s="65"/>
    <row r="958" ht="14.25" customHeight="1" s="65"/>
    <row r="959" ht="14.25" customHeight="1" s="65"/>
    <row r="960" ht="14.25" customHeight="1" s="65"/>
    <row r="961" ht="14.25" customHeight="1" s="65"/>
    <row r="962" ht="14.25" customHeight="1" s="65"/>
    <row r="963" ht="14.25" customHeight="1" s="65"/>
    <row r="964" ht="14.25" customHeight="1" s="65"/>
    <row r="965" ht="14.25" customHeight="1" s="65"/>
    <row r="966" ht="14.25" customHeight="1" s="65"/>
    <row r="967" ht="14.25" customHeight="1" s="65"/>
    <row r="968" ht="14.25" customHeight="1" s="65"/>
    <row r="969" ht="14.25" customHeight="1" s="65"/>
    <row r="970" ht="14.25" customHeight="1" s="65"/>
    <row r="971" ht="14.25" customHeight="1" s="65"/>
    <row r="972" ht="14.25" customHeight="1" s="65"/>
    <row r="973" ht="14.25" customHeight="1" s="65"/>
    <row r="974" ht="14.25" customHeight="1" s="65"/>
    <row r="975" ht="14.25" customHeight="1" s="65"/>
    <row r="976" ht="14.25" customHeight="1" s="65"/>
    <row r="977" ht="14.25" customHeight="1" s="65"/>
    <row r="978" ht="14.25" customHeight="1" s="65"/>
    <row r="979" ht="14.25" customHeight="1" s="65"/>
    <row r="980" ht="14.25" customHeight="1" s="65"/>
    <row r="981" ht="14.25" customHeight="1" s="65"/>
    <row r="982" ht="14.25" customHeight="1" s="65"/>
    <row r="983" ht="14.25" customHeight="1" s="65"/>
    <row r="984" ht="14.25" customHeight="1" s="65"/>
    <row r="985" ht="14.25" customHeight="1" s="65"/>
    <row r="986" ht="14.25" customHeight="1" s="65"/>
    <row r="987" ht="14.25" customHeight="1" s="65"/>
    <row r="988" ht="14.25" customHeight="1" s="65"/>
    <row r="989" ht="14.25" customHeight="1" s="65"/>
    <row r="990" ht="14.25" customHeight="1" s="65"/>
    <row r="991" ht="14.25" customHeight="1" s="65"/>
    <row r="992" ht="14.25" customHeight="1" s="65"/>
    <row r="993" ht="14.25" customHeight="1" s="65"/>
    <row r="994" ht="14.25" customHeight="1" s="65"/>
    <row r="995" ht="14.25" customHeight="1" s="65"/>
    <row r="996" ht="14.25" customHeight="1" s="65"/>
  </sheetData>
  <conditionalFormatting sqref="B4:D996">
    <cfRule type="expression" priority="1" dxfId="6">
      <formula>LEFT(B4,2)="&lt;&lt;"</formula>
    </cfRule>
  </conditionalFormatting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D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1" customWidth="1" style="65" min="2" max="2"/>
    <col width="27" customWidth="1" style="65" min="3" max="3"/>
    <col width="27.57" customWidth="1" style="65" min="4" max="4"/>
  </cols>
  <sheetData>
    <row r="1" ht="22.5" customHeight="1" s="65">
      <c r="A1" s="43" t="inlineStr">
        <is>
          <t>STT</t>
        </is>
      </c>
      <c r="B1" s="43" t="inlineStr">
        <is>
          <t>Vị trí</t>
        </is>
      </c>
      <c r="C1" s="43" t="inlineStr">
        <is>
          <t>Định danh nhân sự</t>
        </is>
      </c>
      <c r="D1" s="43" t="inlineStr">
        <is>
          <t>Tổng lương (VND)</t>
        </is>
      </c>
    </row>
    <row r="2" ht="22.5" customHeight="1" s="65">
      <c r="A2" s="44" t="n">
        <v>1</v>
      </c>
      <c r="B2" s="46" t="inlineStr">
        <is>
          <t>PM – Quản lý dự án</t>
        </is>
      </c>
      <c r="C2" s="46" t="inlineStr">
        <is>
          <t>Nhân sự PM 01</t>
        </is>
      </c>
      <c r="D2" s="49" t="n">
        <v>70800000</v>
      </c>
    </row>
    <row r="3" ht="22.5" customHeight="1" s="65">
      <c r="A3" s="44" t="n">
        <v>2</v>
      </c>
      <c r="B3" s="46" t="inlineStr">
        <is>
          <t>SA – Kiến trúc hệ thống</t>
        </is>
      </c>
      <c r="C3" s="46" t="inlineStr">
        <is>
          <t>Nhân sự SA 01</t>
        </is>
      </c>
      <c r="D3" s="49" t="n">
        <v>69720000</v>
      </c>
    </row>
    <row r="4" ht="22.5" customHeight="1" s="65">
      <c r="A4" s="44" t="n">
        <v>3</v>
      </c>
      <c r="B4" s="46" t="inlineStr">
        <is>
          <t>BA – Phân tích nghiệp vụ</t>
        </is>
      </c>
      <c r="C4" s="46" t="inlineStr">
        <is>
          <t>Nhân sự BA 01</t>
        </is>
      </c>
      <c r="D4" s="49" t="n">
        <v>97500000</v>
      </c>
    </row>
    <row r="5" ht="22.5" customHeight="1" s="65">
      <c r="A5" s="44" t="n">
        <v>4</v>
      </c>
      <c r="B5" s="46" t="inlineStr">
        <is>
          <t>UX – Thiết kế giao diện</t>
        </is>
      </c>
      <c r="C5" s="46" t="inlineStr">
        <is>
          <t>Nhân sự UX 01</t>
        </is>
      </c>
      <c r="D5" s="49" t="n">
        <v>46640000</v>
      </c>
    </row>
    <row r="6" ht="22.5" customHeight="1" s="65">
      <c r="A6" s="44" t="n">
        <v>5</v>
      </c>
      <c r="B6" s="46" t="inlineStr">
        <is>
          <t>DEV – Lập trình</t>
        </is>
      </c>
      <c r="C6" s="46" t="inlineStr">
        <is>
          <t>Nhân sự DEV 01</t>
        </is>
      </c>
      <c r="D6" s="49">
        <f>362400000/3</f>
        <v/>
      </c>
    </row>
    <row r="7" ht="22.5" customHeight="1" s="65">
      <c r="A7" s="44" t="n">
        <v>6</v>
      </c>
      <c r="B7" s="46" t="inlineStr">
        <is>
          <t>DEV – Lập trình</t>
        </is>
      </c>
      <c r="C7" s="46" t="inlineStr">
        <is>
          <t>Nhân sự DEV 02</t>
        </is>
      </c>
      <c r="D7" s="49">
        <f>362400000/3</f>
        <v/>
      </c>
    </row>
    <row r="8" ht="22.5" customHeight="1" s="65">
      <c r="A8" s="44" t="n">
        <v>7</v>
      </c>
      <c r="B8" s="46" t="inlineStr">
        <is>
          <t>DEV – Lập trình</t>
        </is>
      </c>
      <c r="C8" s="46" t="inlineStr">
        <is>
          <t>Nhân sự DEV 03</t>
        </is>
      </c>
      <c r="D8" s="49">
        <f>362400000/3</f>
        <v/>
      </c>
    </row>
    <row r="9" ht="22.5" customHeight="1" s="65">
      <c r="A9" s="44" t="n">
        <v>8</v>
      </c>
      <c r="B9" s="46" t="inlineStr">
        <is>
          <t>QA – Kiểm thử (2)</t>
        </is>
      </c>
      <c r="C9" s="46" t="inlineStr">
        <is>
          <t>Nhân sự QC 01</t>
        </is>
      </c>
      <c r="D9" s="49">
        <f>91440000/2</f>
        <v/>
      </c>
    </row>
    <row r="10" ht="22.5" customHeight="1" s="65">
      <c r="A10" s="44" t="n">
        <v>9</v>
      </c>
      <c r="B10" s="46" t="inlineStr">
        <is>
          <t>QA – Kiểm thử (2)</t>
        </is>
      </c>
      <c r="C10" s="46" t="inlineStr">
        <is>
          <t>Nhân sự QC 02</t>
        </is>
      </c>
      <c r="D10" s="49">
        <f>91440000/2</f>
        <v/>
      </c>
    </row>
    <row r="11" ht="22.5" customHeight="1" s="65">
      <c r="A11" s="44" t="n">
        <v>10</v>
      </c>
      <c r="B11" s="46" t="inlineStr">
        <is>
          <t>OPS – Hạ tầng và vận hành</t>
        </is>
      </c>
      <c r="C11" s="46" t="inlineStr">
        <is>
          <t>Nhân sự OPS 01</t>
        </is>
      </c>
      <c r="D11" s="49" t="n">
        <v>27720000</v>
      </c>
    </row>
    <row r="12" ht="22.5" customHeight="1" s="65">
      <c r="A12" s="58" t="n"/>
      <c r="B12" s="60" t="inlineStr">
        <is>
          <t>Tổng cộng</t>
        </is>
      </c>
      <c r="C12" s="61" t="n"/>
      <c r="D12" s="63">
        <f>SUM(D2:D11)</f>
        <v/>
      </c>
    </row>
  </sheetData>
  <dataValidations count="1">
    <dataValidation sqref="A2:A12" showDropDown="1" showInputMessage="0" showErrorMessage="0" allowBlank="1" type="custom">
      <formula1>AND(ISNUMBER(A2),(NOT(OR(NOT(ISERROR(DATEVALUE(A2))), AND(ISNUMBER(A2), LEFT(CELL("format", A2))="D")))))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2026-10-13T16:18:23Z</dcterms:created>
  <dcterms:modified xmlns:dcterms="http://purl.org/dc/terms/" xmlns:xsi="http://www.w3.org/2001/XMLSchema-instance" xsi:type="dcterms:W3CDTF">2026-10-25T14:47:20Z</dcterms:modified>
</cp:coreProperties>
</file>