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7F5E393-EB02-4D0F-983E-F1C2F1C440D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WBS" sheetId="1" r:id="rId1"/>
    <sheet name="Nhân sự" sheetId="6" r:id="rId2"/>
  </sheets>
  <definedNames>
    <definedName name="_xlnm._FilterDatabase" localSheetId="0" hidden="1">WBS!$A$3:$K$251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1" i="1" l="1"/>
  <c r="I250" i="1"/>
  <c r="I249" i="1"/>
  <c r="I248" i="1" s="1"/>
  <c r="I246" i="1"/>
  <c r="I245" i="1"/>
  <c r="I244" i="1" s="1"/>
  <c r="I243" i="1"/>
  <c r="I242" i="1"/>
  <c r="I240" i="1"/>
  <c r="I239" i="1"/>
  <c r="I238" i="1"/>
  <c r="I237" i="1"/>
  <c r="I236" i="1"/>
  <c r="I235" i="1"/>
  <c r="I234" i="1"/>
  <c r="I232" i="1" s="1"/>
  <c r="I231" i="1"/>
  <c r="I230" i="1"/>
  <c r="I228" i="1"/>
  <c r="I227" i="1"/>
  <c r="I226" i="1"/>
  <c r="I225" i="1"/>
  <c r="I224" i="1"/>
  <c r="I223" i="1" s="1"/>
  <c r="I222" i="1"/>
  <c r="I221" i="1"/>
  <c r="I220" i="1"/>
  <c r="I217" i="1"/>
  <c r="I216" i="1" s="1"/>
  <c r="I215" i="1"/>
  <c r="I213" i="1" s="1"/>
  <c r="I214" i="1"/>
  <c r="I212" i="1"/>
  <c r="I211" i="1"/>
  <c r="I210" i="1"/>
  <c r="I209" i="1"/>
  <c r="I208" i="1"/>
  <c r="I207" i="1"/>
  <c r="I206" i="1"/>
  <c r="I204" i="1"/>
  <c r="I203" i="1"/>
  <c r="I202" i="1"/>
  <c r="I201" i="1" s="1"/>
  <c r="I200" i="1"/>
  <c r="I199" i="1"/>
  <c r="I198" i="1"/>
  <c r="I197" i="1"/>
  <c r="I196" i="1"/>
  <c r="I194" i="1"/>
  <c r="I193" i="1"/>
  <c r="I192" i="1"/>
  <c r="I191" i="1" s="1"/>
  <c r="I189" i="1"/>
  <c r="I188" i="1"/>
  <c r="I187" i="1"/>
  <c r="I186" i="1"/>
  <c r="I185" i="1"/>
  <c r="I184" i="1"/>
  <c r="I183" i="1"/>
  <c r="I181" i="1"/>
  <c r="I180" i="1" s="1"/>
  <c r="I179" i="1"/>
  <c r="I178" i="1"/>
  <c r="I177" i="1"/>
  <c r="I176" i="1"/>
  <c r="I174" i="1"/>
  <c r="I173" i="1"/>
  <c r="I172" i="1"/>
  <c r="I171" i="1"/>
  <c r="I170" i="1"/>
  <c r="I168" i="1"/>
  <c r="I167" i="1" s="1"/>
  <c r="I165" i="1"/>
  <c r="I164" i="1"/>
  <c r="I163" i="1"/>
  <c r="I162" i="1"/>
  <c r="I161" i="1"/>
  <c r="I160" i="1"/>
  <c r="I159" i="1"/>
  <c r="I157" i="1"/>
  <c r="I156" i="1"/>
  <c r="I155" i="1"/>
  <c r="I154" i="1"/>
  <c r="I153" i="1"/>
  <c r="I151" i="1"/>
  <c r="I150" i="1"/>
  <c r="I149" i="1"/>
  <c r="I148" i="1"/>
  <c r="I147" i="1"/>
  <c r="I146" i="1"/>
  <c r="I145" i="1"/>
  <c r="I143" i="1"/>
  <c r="I142" i="1" s="1"/>
  <c r="I141" i="1"/>
  <c r="I140" i="1"/>
  <c r="I137" i="1"/>
  <c r="I136" i="1"/>
  <c r="I135" i="1"/>
  <c r="I134" i="1"/>
  <c r="I133" i="1"/>
  <c r="I132" i="1"/>
  <c r="I131" i="1"/>
  <c r="I129" i="1"/>
  <c r="I128" i="1"/>
  <c r="I127" i="1"/>
  <c r="I126" i="1"/>
  <c r="I124" i="1"/>
  <c r="I123" i="1" s="1"/>
  <c r="I122" i="1"/>
  <c r="I121" i="1"/>
  <c r="I120" i="1"/>
  <c r="I119" i="1"/>
  <c r="I118" i="1"/>
  <c r="I117" i="1"/>
  <c r="I116" i="1"/>
  <c r="I115" i="1"/>
  <c r="I114" i="1"/>
  <c r="I113" i="1"/>
  <c r="I111" i="1"/>
  <c r="I110" i="1"/>
  <c r="I107" i="1"/>
  <c r="I106" i="1"/>
  <c r="I105" i="1"/>
  <c r="I104" i="1"/>
  <c r="I103" i="1"/>
  <c r="I102" i="1"/>
  <c r="I101" i="1"/>
  <c r="I99" i="1"/>
  <c r="I98" i="1"/>
  <c r="I97" i="1"/>
  <c r="I96" i="1"/>
  <c r="I94" i="1"/>
  <c r="I93" i="1"/>
  <c r="I92" i="1"/>
  <c r="I91" i="1"/>
  <c r="I90" i="1"/>
  <c r="I89" i="1"/>
  <c r="I88" i="1"/>
  <c r="I87" i="1"/>
  <c r="I85" i="1"/>
  <c r="I84" i="1"/>
  <c r="I81" i="1"/>
  <c r="I80" i="1"/>
  <c r="I79" i="1"/>
  <c r="I78" i="1"/>
  <c r="I77" i="1"/>
  <c r="I76" i="1"/>
  <c r="I75" i="1"/>
  <c r="I74" i="1"/>
  <c r="I72" i="1"/>
  <c r="I71" i="1"/>
  <c r="I70" i="1"/>
  <c r="I68" i="1" s="1"/>
  <c r="I69" i="1"/>
  <c r="I67" i="1"/>
  <c r="I66" i="1"/>
  <c r="I65" i="1"/>
  <c r="I64" i="1"/>
  <c r="I63" i="1"/>
  <c r="I62" i="1"/>
  <c r="I61" i="1"/>
  <c r="I60" i="1"/>
  <c r="I59" i="1"/>
  <c r="I58" i="1"/>
  <c r="I57" i="1"/>
  <c r="I56" i="1"/>
  <c r="I54" i="1"/>
  <c r="I53" i="1"/>
  <c r="I52" i="1" s="1"/>
  <c r="I50" i="1"/>
  <c r="I48" i="1"/>
  <c r="I47" i="1"/>
  <c r="I46" i="1"/>
  <c r="I45" i="1"/>
  <c r="I44" i="1"/>
  <c r="I43" i="1"/>
  <c r="I42" i="1"/>
  <c r="I41" i="1"/>
  <c r="I39" i="1"/>
  <c r="I38" i="1" s="1"/>
  <c r="I37" i="1"/>
  <c r="I36" i="1"/>
  <c r="I35" i="1"/>
  <c r="I33" i="1"/>
  <c r="I32" i="1"/>
  <c r="I31" i="1" s="1"/>
  <c r="I30" i="1"/>
  <c r="I29" i="1"/>
  <c r="I28" i="1"/>
  <c r="I27" i="1"/>
  <c r="I25" i="1"/>
  <c r="I24" i="1"/>
  <c r="I23" i="1"/>
  <c r="I22" i="1"/>
  <c r="I20" i="1"/>
  <c r="I19" i="1" s="1"/>
  <c r="I18" i="1"/>
  <c r="I17" i="1"/>
  <c r="I16" i="1"/>
  <c r="I15" i="1"/>
  <c r="I14" i="1"/>
  <c r="I13" i="1"/>
  <c r="I11" i="1"/>
  <c r="I10" i="1"/>
  <c r="I9" i="1"/>
  <c r="I8" i="1"/>
  <c r="I7" i="1"/>
  <c r="I6" i="1"/>
  <c r="I241" i="1" l="1"/>
  <c r="I219" i="1"/>
  <c r="I109" i="1"/>
  <c r="I229" i="1"/>
  <c r="I233" i="1"/>
  <c r="I95" i="1"/>
  <c r="I175" i="1"/>
  <c r="I21" i="1"/>
  <c r="I125" i="1"/>
  <c r="I49" i="1"/>
  <c r="I5" i="1"/>
  <c r="I26" i="1"/>
  <c r="I83" i="1"/>
  <c r="I158" i="1"/>
  <c r="I195" i="1"/>
  <c r="I138" i="1"/>
  <c r="I86" i="1"/>
  <c r="I139" i="1"/>
  <c r="I100" i="1"/>
  <c r="I218" i="1"/>
  <c r="I144" i="1"/>
  <c r="I12" i="1"/>
  <c r="I51" i="1"/>
  <c r="I182" i="1"/>
  <c r="I4" i="1"/>
  <c r="I34" i="1"/>
  <c r="I108" i="1"/>
  <c r="I55" i="1"/>
  <c r="I166" i="1"/>
  <c r="I73" i="1"/>
  <c r="I112" i="1"/>
  <c r="I130" i="1"/>
  <c r="I190" i="1"/>
  <c r="I40" i="1"/>
  <c r="I152" i="1"/>
  <c r="I169" i="1"/>
  <c r="I252" i="1"/>
  <c r="I205" i="1"/>
  <c r="I82" i="1"/>
  <c r="I247" i="1"/>
</calcChain>
</file>

<file path=xl/sharedStrings.xml><?xml version="1.0" encoding="utf-8"?>
<sst xmlns="http://schemas.openxmlformats.org/spreadsheetml/2006/main" count="2036" uniqueCount="882">
  <si>
    <t>Mã WBS</t>
  </si>
  <si>
    <t>Cấp</t>
  </si>
  <si>
    <t>Hạng mục / Đầu việc</t>
  </si>
  <si>
    <t>Deliverable (đầu ra)</t>
  </si>
  <si>
    <t>PIC</t>
  </si>
  <si>
    <t>Vai trò</t>
  </si>
  <si>
    <t>Gói HSDT</t>
  </si>
  <si>
    <t>Hạng mục HSDT</t>
  </si>
  <si>
    <t>Giờ đề xuất</t>
  </si>
  <si>
    <t>Mã cha</t>
  </si>
  <si>
    <t>Nhánh</t>
  </si>
  <si>
    <t>1</t>
  </si>
  <si>
    <t>Sprint 0 – Khởi động, phân tích yêu cầu, thiết kế và thiết lập kỹ thuật</t>
  </si>
  <si>
    <t>SRS + Product Backlog baseline; Release Plan; thiết kế baseline (dữ liệu, kiến trúc, UI/UX, tích hợp); môi trường DEV, STG, CI/CD</t>
  </si>
  <si>
    <t>1.1</t>
  </si>
  <si>
    <t xml:space="preserve">    Khởi động dự án và kế hoạch quản lý</t>
  </si>
  <si>
    <t>Biên bản họp khởi động; Kế hoạch dự án/WBS baseline; Kế hoạch chất lượng; Test Plan</t>
  </si>
  <si>
    <t>1.1.1</t>
  </si>
  <si>
    <t xml:space="preserve">        Họp khởi động dự án; thống nhất đầu mối, kênh liên lạc, công cụ cộng tác và lịch họp định kỳ</t>
  </si>
  <si>
    <t>Biên bản họp khởi động</t>
  </si>
  <si>
    <t>Nguyễn Đức Tân &amp; Đinh Đức Thắng &amp; Nguyễn Hải Đăng</t>
  </si>
  <si>
    <t>PM &amp; BA &amp; SA</t>
  </si>
  <si>
    <t>1.1.2</t>
  </si>
  <si>
    <t xml:space="preserve">        Lập danh mục dữ liệu, tài liệu, quyền truy cập cần ABC Wear cung cấp; phân công đầu mối hai bên</t>
  </si>
  <si>
    <t>Danh mục yêu cầu cung cấp &amp; đầu mối hai bên</t>
  </si>
  <si>
    <t>Nguyễn Đức Tân &amp; Trần Hùng E</t>
  </si>
  <si>
    <t>PM &amp; OPS</t>
  </si>
  <si>
    <t>1.1.3</t>
  </si>
  <si>
    <t xml:space="preserve">        Xác định phạm vi dự án, phạm vi sản phẩm; xác nhận hạng mục ngoài phạm vi (chức năng quản trị nội bộ)</t>
  </si>
  <si>
    <t>Tuyên bố phạm vi (Scope Statement)</t>
  </si>
  <si>
    <t>Nguyễn Đức Tân</t>
  </si>
  <si>
    <t>PM</t>
  </si>
  <si>
    <t>1.1.4</t>
  </si>
  <si>
    <t xml:space="preserve">        Lập WBS, ước lượng effort/thời lượng và lịch dự án (chi phí theo giá dự thầu đã chốt)</t>
  </si>
  <si>
    <t>WBS &amp; lịch dự án baseline</t>
  </si>
  <si>
    <t>1.1.5</t>
  </si>
  <si>
    <t xml:space="preserve">        Lập kế hoạch quản lý chất lượng: checklist rà soát, quy trình quản lý lỗi, Definition of Done</t>
  </si>
  <si>
    <t>Kế hoạch chất lượng; DoD; quy trình quản lý lỗi</t>
  </si>
  <si>
    <t>Nguyễn Hữu C</t>
  </si>
  <si>
    <t>QC1</t>
  </si>
  <si>
    <t>1.4</t>
  </si>
  <si>
    <t>1.1.6</t>
  </si>
  <si>
    <t xml:space="preserve">        Lập kế hoạch kiểm thử (Test Plan): phạm vi, cấp kiểm thử, môi trường, dữ liệu, tiêu chí hoàn thành</t>
  </si>
  <si>
    <t>Test Plan</t>
  </si>
  <si>
    <t>4</t>
  </si>
  <si>
    <t>4.1</t>
  </si>
  <si>
    <t>1.2</t>
  </si>
  <si>
    <t xml:space="preserve">    Hồ sơ yêu cầu (Product Backlog, SRS) đã baseline</t>
  </si>
  <si>
    <t>Product Backlog (Epic/User Story/AC); SRS baseline</t>
  </si>
  <si>
    <t>1.2.1</t>
  </si>
  <si>
    <t xml:space="preserve">        Khảo sát hiện trạng và nhu cầu nghiệp vụ bán hàng trực tuyến của ABC Wear</t>
  </si>
  <si>
    <t>Báo cáo khảo sát hiện trạng</t>
  </si>
  <si>
    <t>Nguyễn Đức Tân &amp; Đinh Đức Thắng &amp; Nguyễn Thị Thu Thủy</t>
  </si>
  <si>
    <t>PM &amp; BA &amp; UX</t>
  </si>
  <si>
    <t>1.2.2</t>
  </si>
  <si>
    <t xml:space="preserve">        Phỏng vấn đại diện nghiệp vụ ABC Wear, nhóm Main System và Transportation Operation để thu thập yêu cầu</t>
  </si>
  <si>
    <t>Biên bản phỏng vấn</t>
  </si>
  <si>
    <t>Đinh Đức Thắng &amp; Nguyễn Hải Đăng</t>
  </si>
  <si>
    <t>BA &amp; SA</t>
  </si>
  <si>
    <t>1.2.3</t>
  </si>
  <si>
    <t xml:space="preserve">        Phân tích nghiệp vụ và lập danh mục yêu cầu ban đầu</t>
  </si>
  <si>
    <t>Danh mục yêu cầu (backlog v0)</t>
  </si>
  <si>
    <t>Đinh Đức Thắng</t>
  </si>
  <si>
    <t>BA</t>
  </si>
  <si>
    <t>1.2.4</t>
  </si>
  <si>
    <t xml:space="preserve">        Lập User Story và tiêu chí chấp nhận cho toàn bộ Product Backlog</t>
  </si>
  <si>
    <t>User Story + tiêu chí chấp nhận</t>
  </si>
  <si>
    <t>1.2.5</t>
  </si>
  <si>
    <t xml:space="preserve">        Xây dựng SRS và mô tả nghiệp vụ (Member Administration, Product Search, Order, yêu cầu phi chức năng)</t>
  </si>
  <si>
    <t>SRS bản dự thảo</t>
  </si>
  <si>
    <t>1.2, 1.3</t>
  </si>
  <si>
    <t>1.2.6</t>
  </si>
  <si>
    <t xml:space="preserve">        Rà soát, xác nhận và chốt baseline SRS và Product Backlog với ABC Wear</t>
  </si>
  <si>
    <t>SRS + Product Backlog baseline</t>
  </si>
  <si>
    <t>Nguyễn Đức Tân &amp; Đinh Đức Thắng &amp; Nguyễn Hữu C</t>
  </si>
  <si>
    <t>PM &amp; BA &amp; QC1</t>
  </si>
  <si>
    <t>1.3</t>
  </si>
  <si>
    <t xml:space="preserve">    Kế hoạch phát hành và Sprint</t>
  </si>
  <si>
    <t>Release Plan (5 Sprint x 4 ngày làm việc), mục tiêu từng Sprint</t>
  </si>
  <si>
    <t>1.3.1</t>
  </si>
  <si>
    <t xml:space="preserve">        Lập Release Plan: mục tiêu và phạm vi 5 Sprint (time-box 4 ngày làm việc), kế hoạch giai đoạn ổn định (Hardening) và phát hành; xác nhận cùng buổi baseline SRS</t>
  </si>
  <si>
    <t>Release Plan; Sprint Goal S1-S5</t>
  </si>
  <si>
    <t xml:space="preserve">    Mô hình dữ liệu và Selling DB (ERD baseline v1)</t>
  </si>
  <si>
    <t>Mô hình dữ liệu khái niệm; ERD + từ điển dữ liệu baseline v1; phương án sao lưu/phục hồi</t>
  </si>
  <si>
    <t>1.4.1</t>
  </si>
  <si>
    <t xml:space="preserve">        Tìm hiểu, thu thập dữ liệu sản phẩm/thành viên/đơn hàng hiện có; khảo sát kỹ thuật Main System và Transportation Operation</t>
  </si>
  <si>
    <t>Báo cáo khảo sát dữ liệu &amp; kỹ thuật</t>
  </si>
  <si>
    <t>Nguyễn Văn G &amp; Nguyễn Thị Phương</t>
  </si>
  <si>
    <t>DEV5 &amp; DEV1</t>
  </si>
  <si>
    <t>1.4.2</t>
  </si>
  <si>
    <t xml:space="preserve">        Phân tích dữ liệu: thực thể, thuộc tính, quy tắc nghiệp vụ của sản phẩm, thành viên, đơn hàng (mô hình khái niệm)</t>
  </si>
  <si>
    <t>Mô hình dữ liệu khái niệm</t>
  </si>
  <si>
    <t>Đinh Đức Thắng &amp; Nguyễn Văn G</t>
  </si>
  <si>
    <t>BA &amp; DEV5</t>
  </si>
  <si>
    <t>2</t>
  </si>
  <si>
    <t>2.2</t>
  </si>
  <si>
    <t>1.4.3</t>
  </si>
  <si>
    <t xml:space="preserve">        Thiết kế phương án lưu trữ, sao lưu và phục hồi dữ liệu</t>
  </si>
  <si>
    <t>Phương án lưu trữ/sao lưu/phục hồi</t>
  </si>
  <si>
    <t>Nguyễn Văn G &amp; Trần Hùng E</t>
  </si>
  <si>
    <t>DEV5 &amp; OPS</t>
  </si>
  <si>
    <t>2.1</t>
  </si>
  <si>
    <t>1.4.4</t>
  </si>
  <si>
    <t xml:space="preserve">        Thiết kế mô hình dữ liệu và cơ sở dữ liệu Selling DB (ERD, từ điển dữ liệu); chốt ERD baseline v1 sau SRS baseline và đặc tả tích hợp</t>
  </si>
  <si>
    <t>ERD + từ điển dữ liệu baseline v1</t>
  </si>
  <si>
    <t>Nguyễn Văn G</t>
  </si>
  <si>
    <t>DEV5</t>
  </si>
  <si>
    <t>1.5</t>
  </si>
  <si>
    <t xml:space="preserve">    Kiến trúc và thiết kế kỹ thuật</t>
  </si>
  <si>
    <t>HLD; thiết kế xác thực/phân quyền/nhật ký; đặc tả tích hợp/API</t>
  </si>
  <si>
    <t>1.5.1</t>
  </si>
  <si>
    <t xml:space="preserve">        Thiết kế kiến trúc tổng thể HLD (mô hình phân lớp, mở rộng ngang, tính sẵn sàng)</t>
  </si>
  <si>
    <t>Tài liệu HLD</t>
  </si>
  <si>
    <t>Nguyễn Hải Đăng</t>
  </si>
  <si>
    <t>SA</t>
  </si>
  <si>
    <t>1.5.2</t>
  </si>
  <si>
    <t xml:space="preserve">        Thiết kế xác thực, phân quyền, nhật ký truy vết và đặc tả API nội bộ</t>
  </si>
  <si>
    <t>Thiết kế bảo mật &amp; đặc tả API nội bộ</t>
  </si>
  <si>
    <t>Nguyễn Văn F &amp; Nguyễn Hải Đăng</t>
  </si>
  <si>
    <t>DEV4 &amp; SA</t>
  </si>
  <si>
    <t>1.5.3</t>
  </si>
  <si>
    <t xml:space="preserve">        Thiết kế New Operational Flow (luồng vận hành mới từ đặt hàng đến chuyển giao vận chuyển)</t>
  </si>
  <si>
    <t>Tài liệu thiết kế New Operational Flow</t>
  </si>
  <si>
    <t>Nguyễn Đức Tân &amp; Đinh Đức Thắng</t>
  </si>
  <si>
    <t>PM &amp; BA</t>
  </si>
  <si>
    <t>1.5.4</t>
  </si>
  <si>
    <t xml:space="preserve">        Thiết kế bảo vệ dữ liệu cá nhân: TLS 1.3, AES-256, đồng ý và xóa dữ liệu (NĐ 13/2023/NĐ-CP)</t>
  </si>
  <si>
    <t>Thiết kế bảo vệ dữ liệu cá nhân</t>
  </si>
  <si>
    <t>Nguyễn Thị Phương &amp; Nguyễn Hải Đăng</t>
  </si>
  <si>
    <t>DEV1 &amp; SA</t>
  </si>
  <si>
    <t>2.1; HSDT 1.5</t>
  </si>
  <si>
    <t>1.6</t>
  </si>
  <si>
    <t xml:space="preserve">    Kế hoạch và đặc tả tích hợp (Main System, Transportation Operation)</t>
  </si>
  <si>
    <t>Kế hoạch tích hợp; Đặc tả giao diện tích hợp</t>
  </si>
  <si>
    <t>1.6.1</t>
  </si>
  <si>
    <t xml:space="preserve">        Lập kế hoạch tích hợp: phạm vi, dữ liệu trao đổi, đầu mối và lịch kết nối thử với Main System, Transportation Operation</t>
  </si>
  <si>
    <t>Kế hoạch tích hợp</t>
  </si>
  <si>
    <t>Nguyễn Đức Tân &amp; Nguyễn Hải Đăng &amp; Nguyễn Thị Phương</t>
  </si>
  <si>
    <t>PM &amp; SA &amp; DEV1</t>
  </si>
  <si>
    <t>3</t>
  </si>
  <si>
    <t>3.8</t>
  </si>
  <si>
    <t>1.6.2</t>
  </si>
  <si>
    <t xml:space="preserve">        Đặc tả giao diện tích hợp (API/tệp), quy tắc đối soát và xử lý lỗi</t>
  </si>
  <si>
    <t>Đặc tả giao diện tích hợp</t>
  </si>
  <si>
    <t>Nguyễn Hải Đăng &amp; Nguyễn Thị Phương &amp; Đinh Đức Thắng</t>
  </si>
  <si>
    <t>SA &amp; DEV1 &amp; BA</t>
  </si>
  <si>
    <t>3.1</t>
  </si>
  <si>
    <t>1.7</t>
  </si>
  <si>
    <t xml:space="preserve">    Thiết kế giao diện UI/UX và Menu Layer</t>
  </si>
  <si>
    <t>Bản thiết kế Figma responsive; cấu trúc Menu Layer</t>
  </si>
  <si>
    <t>1.7.1</t>
  </si>
  <si>
    <t xml:space="preserve">        Khảo sát yêu cầu giao diện, thương hiệu và trải nghiệm người dùng với ABC Wear</t>
  </si>
  <si>
    <t>Biên bản khảo sát UX/thương hiệu</t>
  </si>
  <si>
    <t>Đinh Đức Thắng &amp; Nguyễn Thị Thu Thủy</t>
  </si>
  <si>
    <t>BA &amp; UX</t>
  </si>
  <si>
    <t>2.3</t>
  </si>
  <si>
    <t>1.7.2</t>
  </si>
  <si>
    <t xml:space="preserve">        Thiết kế giao diện UI/UX responsive bằng Figma</t>
  </si>
  <si>
    <t>Bản thiết kế Figma</t>
  </si>
  <si>
    <t>Nguyễn Thị Thu Thủy</t>
  </si>
  <si>
    <t>UX</t>
  </si>
  <si>
    <t>1.7.3</t>
  </si>
  <si>
    <t xml:space="preserve">        Thiết kế cấu trúc Menu Layer và luồng điều hướng</t>
  </si>
  <si>
    <t>Thiết kế Menu Layer</t>
  </si>
  <si>
    <t>1.8</t>
  </si>
  <si>
    <t xml:space="preserve">    Baseline thiết kế</t>
  </si>
  <si>
    <t>Biên bản chốt baseline thiết kế</t>
  </si>
  <si>
    <t>1.8.1</t>
  </si>
  <si>
    <t xml:space="preserve">        Rà soát thiết kế với ABC Wear; chốt baseline thiết kế</t>
  </si>
  <si>
    <t>Thiết kế baseline</t>
  </si>
  <si>
    <t>Đinh Đức Thắng &amp; Nguyễn Thị Phương &amp; Nguyễn Văn G &amp; Nguyễn Hải Đăng &amp; Nguyễn Thị Thu Thủy &amp; Nguyễn Đức Tân</t>
  </si>
  <si>
    <t>BA &amp; DEV1 &amp; DEV5 &amp; SA &amp; UX &amp; PM</t>
  </si>
  <si>
    <t>2.4</t>
  </si>
  <si>
    <t>1.9</t>
  </si>
  <si>
    <t xml:space="preserve">    Thiết lập kỹ thuật dự án: quản lý mã nguồn, CI/CD, toolchain BE/FE, công cụ kiểm thử</t>
  </si>
  <si>
    <t>Git + CI/CD; khung BE &amp; FE; công cụ và khung kiểm thử tự động</t>
  </si>
  <si>
    <t>1.9.1</t>
  </si>
  <si>
    <t xml:space="preserve">        Cài đặt Git dự án, quy ước nhánh/phiên bản, CI/CD pipeline</t>
  </si>
  <si>
    <t>Git repo + CI/CD pipeline</t>
  </si>
  <si>
    <t>Trần Hùng E</t>
  </si>
  <si>
    <t>OPS</t>
  </si>
  <si>
    <t>1.9.2</t>
  </si>
  <si>
    <t xml:space="preserve">        Cài đặt môi trường DEV (4 vCPU, 8 GB RAM, SSD 200 GB, Linux) gồm ứng dụng và cơ sở dữ liệu</t>
  </si>
  <si>
    <t>Môi trường DEV</t>
  </si>
  <si>
    <t>1.9.3</t>
  </si>
  <si>
    <t xml:space="preserve">        Thiết lập quản lý cấu hình và thông tin nhạy cảm (không hard-code), lưu trữ artifact</t>
  </si>
  <si>
    <t>Quản lý cấu hình &amp; artifact</t>
  </si>
  <si>
    <t>Nguyễn Văn F &amp; Trần Hùng E</t>
  </si>
  <si>
    <t>DEV4 &amp; OPS</t>
  </si>
  <si>
    <t>1.9.4</t>
  </si>
  <si>
    <t xml:space="preserve">        Thiết lập toolchain backend: framework, unit test, công cụ test API, công cụ migration DB</t>
  </si>
  <si>
    <t>Toolchain BE</t>
  </si>
  <si>
    <t>Nguyễn Thị Phương &amp; Nguyễn Văn F</t>
  </si>
  <si>
    <t>DEV1 &amp; DEV4</t>
  </si>
  <si>
    <t>1.9.5</t>
  </si>
  <si>
    <t xml:space="preserve">        Thiết lập toolchain frontend: build, lint, unit test, quản lý thư viện giao diện</t>
  </si>
  <si>
    <t>Toolchain FE</t>
  </si>
  <si>
    <t>Vũ Tuấn A &amp; Nguyễn Ngọc B</t>
  </si>
  <si>
    <t>DEV2 &amp; DEV3</t>
  </si>
  <si>
    <t>1.9.6</t>
  </si>
  <si>
    <t xml:space="preserve">        Cài đặt công cụ kiểm thử (API, giao diện, quản lý lỗi) và chuẩn bị dữ liệu kiểm thử</t>
  </si>
  <si>
    <t>Công cụ + dữ liệu kiểm thử</t>
  </si>
  <si>
    <t>1.9.7</t>
  </si>
  <si>
    <t xml:space="preserve">        Dựng khung kiểm thử hồi quy tự động cho API và luồng chính</t>
  </si>
  <si>
    <t>Khung regression tự động</t>
  </si>
  <si>
    <t>1.9.8</t>
  </si>
  <si>
    <t xml:space="preserve">        Mock Main System phục vụ phát triển</t>
  </si>
  <si>
    <t>Mock Main System</t>
  </si>
  <si>
    <t>Nguyễn Văn F &amp; Nguyễn Thị Phương</t>
  </si>
  <si>
    <t>DEV4 &amp; DEV1</t>
  </si>
  <si>
    <t>2.5</t>
  </si>
  <si>
    <t>1.10</t>
  </si>
  <si>
    <t xml:space="preserve">    Môi trường UAT/STG (bản đầu)</t>
  </si>
  <si>
    <t>STG v1</t>
  </si>
  <si>
    <t>1.10.1</t>
  </si>
  <si>
    <t xml:space="preserve">        Cài đặt môi trường UAT/STG (ứng dụng, cơ sở dữ liệu, mạng) phục vụ demo Sprint</t>
  </si>
  <si>
    <t>Sprint 1: Member Administration và nền tảng kỹ thuật</t>
  </si>
  <si>
    <t>Member Administration (đăng ký, đăng nhập, phân quyền, hồ sơ) chạy trên STG, đã test và demo; khung BE/FE dùng chung</t>
  </si>
  <si>
    <t xml:space="preserve">    Lập kế hoạch Sprint 1</t>
  </si>
  <si>
    <t>Sprint Backlog + Sprint Goal; Backlog Sprint 2 sẵn sàng</t>
  </si>
  <si>
    <t>2.1.1</t>
  </si>
  <si>
    <t xml:space="preserve">        Planning: Sprint planning, chốt Sprint Goal và Sprint Backlog</t>
  </si>
  <si>
    <t>Sprint Backlog + Sprint Goal</t>
  </si>
  <si>
    <t>Đinh Đức Thắng &amp; Nguyễn Thị Phương &amp; Vũ Tuấn A &amp; Nguyễn Ngọc B &amp; Nguyễn Văn F &amp; Nguyễn Văn G &amp; Trần Hùng E &amp; Nguyễn Hải Đăng &amp; Nguyễn Thị Thu Thủy &amp; Nguyễn Đức Tân &amp; Nguyễn Hữu C &amp; Phạm Minh D</t>
  </si>
  <si>
    <t>BA &amp; DEV1 &amp; DEV2 &amp; DEV3 &amp; DEV4 &amp; DEV5 &amp; OPS &amp; SA &amp; UX &amp; PM &amp; QC1 &amp; QC2</t>
  </si>
  <si>
    <t>2.23</t>
  </si>
  <si>
    <t>2.1.2</t>
  </si>
  <si>
    <t xml:space="preserve">        Planning: Tinh chỉnh backlog cho Sprint 2 (làm rõ User Story, ước lượng, ưu tiên)</t>
  </si>
  <si>
    <t>Backlog Sprint 2 sẵn sàng</t>
  </si>
  <si>
    <t>Nguyễn Đức Tân &amp; Đinh Đức Thắng &amp; Nguyễn Hải Đăng &amp; Nguyễn Thị Phương</t>
  </si>
  <si>
    <t>PM &amp; BA &amp; SA &amp; DEV1</t>
  </si>
  <si>
    <t xml:space="preserve">    Phát triển: Member Administration và nền tảng kỹ thuật</t>
  </si>
  <si>
    <t>Khung ứng dụng BE; API xác thực/phân quyền; API thành viên; Migration Selling DB (thành viên); Khung FE + i18n; Màn hình đăng ký/đăng nhập; Màn hình quản lý thành viên; Dữ liệu mẫu chuẩn hoá</t>
  </si>
  <si>
    <t>2.2.1</t>
  </si>
  <si>
    <t xml:space="preserve">        BE: Khung ứng dụng phân lớp, cấu trúc dự án, xử lý lỗi và nhật ký dùng chung (gồm unit test)</t>
  </si>
  <si>
    <t>Khung ứng dụng BE</t>
  </si>
  <si>
    <t>2.2.2</t>
  </si>
  <si>
    <t xml:space="preserve">        BE: API đăng ký, xác thực, đăng nhập, quản lý phiên và phân quyền theo vai trò (gồm unit test)</t>
  </si>
  <si>
    <t>API xác thực/phân quyền</t>
  </si>
  <si>
    <t>Nguyễn Thị Phương</t>
  </si>
  <si>
    <t>DEV1</t>
  </si>
  <si>
    <t>2.6, 2.7</t>
  </si>
  <si>
    <t>2.2.3</t>
  </si>
  <si>
    <t xml:space="preserve">        BE: API quản lý thông tin thành viên: hồ sơ, địa chỉ nhận hàng, danh sách thành viên (gồm unit test)</t>
  </si>
  <si>
    <t>API thành viên</t>
  </si>
  <si>
    <t>2.9</t>
  </si>
  <si>
    <t>2.2.4</t>
  </si>
  <si>
    <t xml:space="preserve">        DB: Lược đồ và migration Selling DB cho thành viên/phân quyền theo ERD baseline v1</t>
  </si>
  <si>
    <t>Migration Selling DB (thành viên)</t>
  </si>
  <si>
    <t>Tiến độ 4.1</t>
  </si>
  <si>
    <t>2.2.5</t>
  </si>
  <si>
    <t xml:space="preserve">        FE: Khung giao diện responsive, bố cục, đa ngôn ngữ (vi; cấu hình thêm en) và thành phần dùng chung (gồm unit test)</t>
  </si>
  <si>
    <t>Khung FE + i18n</t>
  </si>
  <si>
    <t>Vũ Tuấn A &amp; Nguyễn Thị Phương</t>
  </si>
  <si>
    <t>DEV2 &amp; DEV1</t>
  </si>
  <si>
    <t>2.2.6</t>
  </si>
  <si>
    <t xml:space="preserve">        FE: Màn hình đăng ký, đăng nhập; tích hợp API; kiểm tra hiển thị nhiều thiết bị (gồm unit test)</t>
  </si>
  <si>
    <t>Màn hình đăng ký/đăng nhập</t>
  </si>
  <si>
    <t>2.2.7</t>
  </si>
  <si>
    <t xml:space="preserve">        FE: Màn hình quản lý thông tin thành viên (gồm unit test)</t>
  </si>
  <si>
    <t>Màn hình quản lý thành viên</t>
  </si>
  <si>
    <t>2.2.8</t>
  </si>
  <si>
    <t xml:space="preserve">        Data: Tiền xử lý và chuẩn hoá dữ liệu mẫu cho Selling DB theo ERD baseline v1 (chuẩn bị Sprint 2)</t>
  </si>
  <si>
    <t>Dữ liệu mẫu chuẩn hoá</t>
  </si>
  <si>
    <t>2.2.9</t>
  </si>
  <si>
    <t xml:space="preserve">        Xác thực OTP qua SMS/email (hiệu lực 05 phút) khi đăng ký</t>
  </si>
  <si>
    <t>Chức năng OTP</t>
  </si>
  <si>
    <t>2.6</t>
  </si>
  <si>
    <t>2.2.10</t>
  </si>
  <si>
    <t xml:space="preserve">        Khóa tài khoản tạm thời khi đăng nhập sai quá 5 lần; refresh token</t>
  </si>
  <si>
    <t>Chức năng khóa tài khoản</t>
  </si>
  <si>
    <t>2.7</t>
  </si>
  <si>
    <t>2.2.11</t>
  </si>
  <si>
    <t xml:space="preserve">        Quên mật khẩu và đổi mật khẩu bằng token có thời hạn</t>
  </si>
  <si>
    <t>Chức năng khôi phục mật khẩu</t>
  </si>
  <si>
    <t>2.8</t>
  </si>
  <si>
    <t>2.2.12</t>
  </si>
  <si>
    <t xml:space="preserve">        Ghi nhận đồng ý, rút đồng ý dữ liệu cá nhân; yêu cầu xóa tài khoản</t>
  </si>
  <si>
    <t>Chức năng quyền dữ liệu cá nhân</t>
  </si>
  <si>
    <t>2.11</t>
  </si>
  <si>
    <t xml:space="preserve">    Kiểm thử và sửa lỗi Sprint 1</t>
  </si>
  <si>
    <t>Test case của Sprint (từ User Story/AC); Bộ regression tự động cập nhật; Báo cáo kiểm thử chức năng Sprint; danh sách lỗi; Lỗi Sprint đã sửa và verify</t>
  </si>
  <si>
    <t>2.3.1</t>
  </si>
  <si>
    <t xml:space="preserve">        Test: Thiết kế test case Sprint 1 (Member Administration) từ User Story/AC</t>
  </si>
  <si>
    <t>Test case của Sprint (từ User Story/AC)</t>
  </si>
  <si>
    <t>Phạm Minh D</t>
  </si>
  <si>
    <t>QC2</t>
  </si>
  <si>
    <t>2.3.2</t>
  </si>
  <si>
    <t xml:space="preserve">        Test: Bổ sung bộ regression tự động: đăng ký, đăng nhập, phân quyền</t>
  </si>
  <si>
    <t>Bộ regression tự động cập nhật</t>
  </si>
  <si>
    <t>4.5</t>
  </si>
  <si>
    <t>2.3.3</t>
  </si>
  <si>
    <t xml:space="preserve">        Test: Kiểm thử chức năng Sprint 1: Member Administration (đăng ký, đăng nhập, phân quyền, hồ sơ thành viên)</t>
  </si>
  <si>
    <t>Báo cáo kiểm thử chức năng Sprint; danh sách lỗi</t>
  </si>
  <si>
    <t>Phạm Minh D &amp; Nguyễn Hữu C</t>
  </si>
  <si>
    <t>QC2 &amp; QC1</t>
  </si>
  <si>
    <t>Tiến độ 5.4</t>
  </si>
  <si>
    <t>2.3.4</t>
  </si>
  <si>
    <t xml:space="preserve">        Fix: Sửa lỗi phát hiện trong Sprint (lỗi tồn đọng chuyển vào backlog Sprint kế tiếp)</t>
  </si>
  <si>
    <t>Lỗi Sprint đã sửa và verify</t>
  </si>
  <si>
    <t>Nguyễn Thị Phương &amp; Nguyễn Văn G</t>
  </si>
  <si>
    <t>DEV1 &amp; DEV5</t>
  </si>
  <si>
    <t xml:space="preserve">    Hoàn tất Sprint 1: tài liệu, cổng chất lượng, phát hành build, Review, Retrospective</t>
  </si>
  <si>
    <t>Tài liệu sống bản cập nhật (SRS/User Story, thiết kế/API/ERD, test case); Biên bản quality gate Sprint; Bản build đầu tiên trên STG; Bản build gắn phiên bản trên STG; Kết quả chạy regression tự động; Biên bản Sprint Review; phản hồi của ABC Wear; Báo cáo kết quả Sprint; Danh sách hành động cải tiến</t>
  </si>
  <si>
    <t>2.4.1</t>
  </si>
  <si>
    <t xml:space="preserve">        Doc: Cập nhật tài liệu sống sau Sprint 1 (SRS/User Story, thiết kế, đặc tả API, ERD, test case)</t>
  </si>
  <si>
    <t>Tài liệu sống bản cập nhật (SRS/User Story, thiết kế/API/ERD, test case)</t>
  </si>
  <si>
    <t>Đinh Đức Thắng &amp; Nguyễn Văn G &amp; Nguyễn Hải Đăng</t>
  </si>
  <si>
    <t>BA &amp; DEV5 &amp; SA</t>
  </si>
  <si>
    <t>1, 2</t>
  </si>
  <si>
    <t>1.2, 2.4</t>
  </si>
  <si>
    <t>2.4.2</t>
  </si>
  <si>
    <t xml:space="preserve">        QA: Rà soát chất lượng cuối Sprint (Definition of Done, bằng chứng kiểm thử, lỗi tồn đọng - quality gate)</t>
  </si>
  <si>
    <t>Biên bản quality gate Sprint</t>
  </si>
  <si>
    <t>2.4.3</t>
  </si>
  <si>
    <t xml:space="preserve">        Triển khai bản build đầu tiên lên STG; thiết lập pipeline triển khai STG</t>
  </si>
  <si>
    <t>Bản build đầu tiên trên STG</t>
  </si>
  <si>
    <t>Nguyễn Thị Phương &amp; Trần Hùng E</t>
  </si>
  <si>
    <t>DEV1 &amp; OPS</t>
  </si>
  <si>
    <t>2.4.4</t>
  </si>
  <si>
    <t xml:space="preserve">        Release: Commit mã nguồn, gắn phiên bản (tag) và đóng gói bản build của Sprint trên CI/CD; triển khai lên STG</t>
  </si>
  <si>
    <t>Bản build gắn phiên bản trên STG</t>
  </si>
  <si>
    <t>2.22</t>
  </si>
  <si>
    <t>2.4.5</t>
  </si>
  <si>
    <t xml:space="preserve">        Test: Chạy bộ kiểm thử tự động (regression) trên bản build đã gắn phiên bản và ghi nhận kết quả</t>
  </si>
  <si>
    <t>Kết quả chạy regression tự động</t>
  </si>
  <si>
    <t>2.4.6</t>
  </si>
  <si>
    <t xml:space="preserve">        Review: Sprint Review/Demo sản phẩm của Sprint cho đại diện nghiệp vụ ABC Wear; thu thập phản hồi và cập nhật Product Backlog</t>
  </si>
  <si>
    <t>Biên bản Sprint Review; phản hồi của ABC Wear</t>
  </si>
  <si>
    <t>Đinh Đức Thắng &amp; Nguyễn Thị Phương &amp; Nguyễn Đức Tân &amp; Phạm Minh D</t>
  </si>
  <si>
    <t>BA &amp; DEV1 &amp; PM &amp; QC2</t>
  </si>
  <si>
    <t>HSDT 3.3</t>
  </si>
  <si>
    <t>2.4.7</t>
  </si>
  <si>
    <t xml:space="preserve">        Report: Lập báo cáo kết quả Sprint (phạm vi hoàn thành, chất lượng, lỗi tồn đọng, rủi ro) gửi PM và ABC Wear</t>
  </si>
  <si>
    <t>Báo cáo kết quả Sprint</t>
  </si>
  <si>
    <t>Đinh Đức Thắng &amp; Nguyễn Hữu C</t>
  </si>
  <si>
    <t>BA &amp; QC1</t>
  </si>
  <si>
    <t>2.4.8</t>
  </si>
  <si>
    <t xml:space="preserve">        Retro: Sprint Retrospective (họp nội bộ đội dự án): rút kinh nghiệm cách làm việc, chốt hành động cải tiến cho Sprint sau</t>
  </si>
  <si>
    <t>Danh sách hành động cải tiến</t>
  </si>
  <si>
    <t>Sprint 2: Product Search và thông tin sản phẩm</t>
  </si>
  <si>
    <t>Danh mục, danh sách, chi tiết, tìm kiếm và lọc sản phẩm chạy trên STG, đã test và demo; API tìm kiếm &lt; 500 ms</t>
  </si>
  <si>
    <t xml:space="preserve">    Lập kế hoạch Sprint 2</t>
  </si>
  <si>
    <t>Sprint Backlog + Sprint Goal; Backlog Sprint 3 sẵn sàng</t>
  </si>
  <si>
    <t>3.1.1</t>
  </si>
  <si>
    <t xml:space="preserve">        Planning: Sprint planning, chốt Sprint Goal và Sprint Backlog (gồm lỗi tồn đọng Sprint 1)</t>
  </si>
  <si>
    <t>3.1.2</t>
  </si>
  <si>
    <t xml:space="preserve">        Planning: Tinh chỉnh backlog cho Sprint 3 (làm rõ User Story, ước lượng, ưu tiên)</t>
  </si>
  <si>
    <t>Backlog Sprint 3 sẵn sàng</t>
  </si>
  <si>
    <t>3.2</t>
  </si>
  <si>
    <t xml:space="preserve">    Phát triển: Product Search và thông tin sản phẩm</t>
  </si>
  <si>
    <t>API sản phẩm; API tìm kiếm/lọc; Migration Selling DB (sản phẩm); Màn hình sản phẩm; Màn hình tìm kiếm/lọc</t>
  </si>
  <si>
    <t>3.2.1</t>
  </si>
  <si>
    <t xml:space="preserve">        BE: API danh mục, danh sách và chi tiết sản phẩm; nạp dữ liệu mẫu (gồm unit test)</t>
  </si>
  <si>
    <t>API sản phẩm</t>
  </si>
  <si>
    <t>Vũ Tuấn A</t>
  </si>
  <si>
    <t>DEV2</t>
  </si>
  <si>
    <t>2.13, 2.14</t>
  </si>
  <si>
    <t>3.2.2</t>
  </si>
  <si>
    <t xml:space="preserve">        BE: API tìm kiếm và lọc sản phẩm (từ khoá, danh mục, thuộc tính), tối ưu truy vấn (API &lt; 500 ms) (gồm unit test)</t>
  </si>
  <si>
    <t>API tìm kiếm/lọc</t>
  </si>
  <si>
    <t>Vũ Tuấn A &amp; Nguyễn Văn G</t>
  </si>
  <si>
    <t>DEV2 &amp; DEV5</t>
  </si>
  <si>
    <t>2.12, 2.13</t>
  </si>
  <si>
    <t>3.2.3</t>
  </si>
  <si>
    <t xml:space="preserve">        DB: Lược đồ, chỉ mục và migration Selling DB cho sản phẩm/danh mục theo ERD baseline v1</t>
  </si>
  <si>
    <t>Migration Selling DB (sản phẩm)</t>
  </si>
  <si>
    <t>3.2.4</t>
  </si>
  <si>
    <t xml:space="preserve">        FE: Màn hình danh mục, danh sách và chi tiết sản phẩm (gồm unit test)</t>
  </si>
  <si>
    <t>Màn hình sản phẩm</t>
  </si>
  <si>
    <t>3.2.5</t>
  </si>
  <si>
    <t xml:space="preserve">        FE: Màn hình tìm kiếm và bộ lọc sản phẩm; tích hợp API (gồm unit test)</t>
  </si>
  <si>
    <t>Màn hình tìm kiếm/lọc</t>
  </si>
  <si>
    <t>3.2.6</t>
  </si>
  <si>
    <t xml:space="preserve">        Tìm kiếm tiếng Việt không dấu, gợi ý từ khóa tức thì (Elasticsearch)</t>
  </si>
  <si>
    <t>Tìm kiếm nâng cao</t>
  </si>
  <si>
    <t>2.12</t>
  </si>
  <si>
    <t>3.2.7</t>
  </si>
  <si>
    <t xml:space="preserve">        Chi tiết sản phẩm: bảng size, khuyến mại, tình trạng tồn kho theo chi nhánh</t>
  </si>
  <si>
    <t>Trang chi tiết sản phẩm bổ sung</t>
  </si>
  <si>
    <t>2.14</t>
  </si>
  <si>
    <t>3.2.8</t>
  </si>
  <si>
    <t xml:space="preserve">        Trang chính sách đổi trả, vận chuyển, bảo mật</t>
  </si>
  <si>
    <t>Trang chính sách</t>
  </si>
  <si>
    <t>2.15</t>
  </si>
  <si>
    <t>3.3</t>
  </si>
  <si>
    <t xml:space="preserve">    Kiểm thử và sửa lỗi Sprint 2</t>
  </si>
  <si>
    <t>3.3.1</t>
  </si>
  <si>
    <t xml:space="preserve">        Test: Thiết kế test case Sprint 2 (Product Search) từ User Story/AC</t>
  </si>
  <si>
    <t>3.3.2</t>
  </si>
  <si>
    <t xml:space="preserve">        Test: Bổ sung bộ regression tự động: danh mục, tìm kiếm, bộ lọc</t>
  </si>
  <si>
    <t>3.3.3</t>
  </si>
  <si>
    <t xml:space="preserve">        Test: Kiểm thử chức năng Sprint 2: Product Search (danh mục, tìm kiếm, bộ lọc) và regression Sprint 1</t>
  </si>
  <si>
    <t>3.3.4</t>
  </si>
  <si>
    <t>3.4</t>
  </si>
  <si>
    <t xml:space="preserve">    Hoàn tất Sprint 2: tài liệu, cổng chất lượng, phát hành build, Review, Retrospective</t>
  </si>
  <si>
    <t>Tài liệu sống bản cập nhật (SRS/User Story, thiết kế/API/ERD, test case); Biên bản quality gate Sprint; Bản build gắn phiên bản trên STG; Kết quả chạy regression tự động; Biên bản Sprint Review; phản hồi của ABC Wear; Báo cáo kết quả Sprint; Danh sách hành động cải tiến</t>
  </si>
  <si>
    <t>3.4.1</t>
  </si>
  <si>
    <t xml:space="preserve">        Doc: Cập nhật tài liệu sống sau Sprint 2 (User Story, thiết kế, đặc tả API, ERD, test case)</t>
  </si>
  <si>
    <t>3.4.2</t>
  </si>
  <si>
    <t>3.4.3</t>
  </si>
  <si>
    <t>3.4.4</t>
  </si>
  <si>
    <t>3.4.5</t>
  </si>
  <si>
    <t>Đinh Đức Thắng &amp; Vũ Tuấn A &amp; Nguyễn Đức Tân &amp; Phạm Minh D</t>
  </si>
  <si>
    <t>BA &amp; DEV2 &amp; PM &amp; QC2</t>
  </si>
  <si>
    <t>3.4.6</t>
  </si>
  <si>
    <t>3.4.7</t>
  </si>
  <si>
    <t>Sprint 3: Order (giỏ hàng, đặt hàng, huỷ đơn, theo dõi)</t>
  </si>
  <si>
    <t>Giỏ hàng, đặt hàng, huỷ đơn, lịch sử và theo dõi đơn hàng chạy trên STG, đã test và demo</t>
  </si>
  <si>
    <t xml:space="preserve">    Lập kế hoạch Sprint 3</t>
  </si>
  <si>
    <t>Sprint Backlog + Sprint Goal; Backlog Sprint 4 sẵn sàng</t>
  </si>
  <si>
    <t>4.1.1</t>
  </si>
  <si>
    <t xml:space="preserve">        Planning: Sprint planning, chốt Sprint Goal và Sprint Backlog (gồm lỗi tồn đọng Sprint 2)</t>
  </si>
  <si>
    <t>4.1.2</t>
  </si>
  <si>
    <t xml:space="preserve">        Planning: Tinh chỉnh backlog cho Sprint 4 (làm rõ User Story, ước lượng, ưu tiên)</t>
  </si>
  <si>
    <t>Backlog Sprint 4 sẵn sàng</t>
  </si>
  <si>
    <t>4.2</t>
  </si>
  <si>
    <t xml:space="preserve">    Phát triển: Order (giỏ hàng, đặt hàng, huỷ đơn, theo dõi)</t>
  </si>
  <si>
    <t>API giỏ hàng; API đặt hàng; API huỷ đơn/lịch sử; Migration Selling DB (đơn hàng); Màn hình giỏ hàng/đặt hàng; Màn hình theo dõi/huỷ đơn</t>
  </si>
  <si>
    <t>4.2.1</t>
  </si>
  <si>
    <t xml:space="preserve">        BE: API giỏ hàng (gồm unit test)</t>
  </si>
  <si>
    <t>API giỏ hàng</t>
  </si>
  <si>
    <t>Nguyễn Ngọc B</t>
  </si>
  <si>
    <t>DEV3</t>
  </si>
  <si>
    <t>2.17</t>
  </si>
  <si>
    <t>4.2.2</t>
  </si>
  <si>
    <t xml:space="preserve">        BE: API đặt hàng: tạo đơn, kiểm tra dữ liệu, trạng thái và theo dõi đơn hàng (gồm unit test)</t>
  </si>
  <si>
    <t>API đặt hàng</t>
  </si>
  <si>
    <t>2.18, 2.20</t>
  </si>
  <si>
    <t>4.2.3</t>
  </si>
  <si>
    <t xml:space="preserve">        BE: API huỷ đơn, lịch sử đơn hàng và nhật ký xử lý đơn hàng (gồm unit test)</t>
  </si>
  <si>
    <t>API huỷ đơn/lịch sử</t>
  </si>
  <si>
    <t>2.10, 2.20</t>
  </si>
  <si>
    <t>4.2.4</t>
  </si>
  <si>
    <t xml:space="preserve">        DB: Lược đồ, ràng buộc và migration Selling DB cho giỏ hàng/đơn hàng theo ERD baseline v1</t>
  </si>
  <si>
    <t>Migration Selling DB (đơn hàng)</t>
  </si>
  <si>
    <t>4.2.5</t>
  </si>
  <si>
    <t xml:space="preserve">        FE: Giỏ hàng và màn hình đặt hàng (gồm unit test)</t>
  </si>
  <si>
    <t>Màn hình giỏ hàng/đặt hàng</t>
  </si>
  <si>
    <t>2.17, 2.18</t>
  </si>
  <si>
    <t>4.2.6</t>
  </si>
  <si>
    <t xml:space="preserve">        FE: Theo dõi đơn, huỷ đơn và lịch sử đơn hàng (gồm unit test)</t>
  </si>
  <si>
    <t>Màn hình theo dõi/huỷ đơn</t>
  </si>
  <si>
    <t>Nguyễn Ngọc B &amp; Nguyễn Thị Phương</t>
  </si>
  <si>
    <t>DEV3 &amp; DEV1</t>
  </si>
  <si>
    <t>4.2.7</t>
  </si>
  <si>
    <t xml:space="preserve">        Giữ tồn kho 15 phút, tính phí vận chuyển, áp dụng mã giảm giá khi đặt hàng</t>
  </si>
  <si>
    <t>Chức năng đặt hàng bổ sung</t>
  </si>
  <si>
    <t>2.18</t>
  </si>
  <si>
    <t>4.2.8</t>
  </si>
  <si>
    <t xml:space="preserve">        Thanh toán thẻ, ví, QR, COD qua cổng thanh toán; callback/IPN</t>
  </si>
  <si>
    <t>Chức năng thanh toán</t>
  </si>
  <si>
    <t>Nguyễn Văn F &amp; Nguyễn Ngọc B</t>
  </si>
  <si>
    <t>DEV4 &amp; DEV3</t>
  </si>
  <si>
    <t>2.19</t>
  </si>
  <si>
    <t>4.2.9</t>
  </si>
  <si>
    <t xml:space="preserve">        Xử lý giao dịch treo, hoàn tiền, đối soát thanh toán hằng ngày</t>
  </si>
  <si>
    <t>Chức năng hoàn tiền, đối soát</t>
  </si>
  <si>
    <t>4.2.10</t>
  </si>
  <si>
    <t xml:space="preserve">        Thông báo đơn hàng qua email/SMS; nhật ký gửi</t>
  </si>
  <si>
    <t>Chức năng thông báo</t>
  </si>
  <si>
    <t>2.21</t>
  </si>
  <si>
    <t>4.3</t>
  </si>
  <si>
    <t xml:space="preserve">    Chuẩn bị kết nối tích hợp</t>
  </si>
  <si>
    <t>Môi trường kết nối thử sẵn sàng</t>
  </si>
  <si>
    <t>4.3.1</t>
  </si>
  <si>
    <t xml:space="preserve">        Thống nhất môi trường kết nối thử, tài khoản/khoá truy cập và dữ liệu mẫu với nhóm Main System và Transportation Operation</t>
  </si>
  <si>
    <t>Nguyễn Đức Tân &amp; Nguyễn Thị Phương &amp; Trần Hùng E</t>
  </si>
  <si>
    <t>PM &amp; DEV1 &amp; OPS</t>
  </si>
  <si>
    <t>4.4</t>
  </si>
  <si>
    <t xml:space="preserve">    Kiểm thử và sửa lỗi Sprint 3</t>
  </si>
  <si>
    <t>4.4.1</t>
  </si>
  <si>
    <t xml:space="preserve">        Test: Thiết kế test case Sprint 3 (Order) từ User Story/AC</t>
  </si>
  <si>
    <t>4.4.2</t>
  </si>
  <si>
    <t xml:space="preserve">        Test: Bổ sung bộ regression tự động: giỏ hàng, đặt hàng, huỷ đơn</t>
  </si>
  <si>
    <t>4.4.3</t>
  </si>
  <si>
    <t xml:space="preserve">        Test: Kiểm thử chức năng Sprint 3: Order (giỏ hàng, đặt hàng, huỷ đơn, theo dõi) và regression Sprint 1-2</t>
  </si>
  <si>
    <t>4.4.4</t>
  </si>
  <si>
    <t>Nguyễn Ngọc B &amp; Nguyễn Văn F</t>
  </si>
  <si>
    <t>DEV3 &amp; DEV4</t>
  </si>
  <si>
    <t xml:space="preserve">    Hoàn tất Sprint 3: tài liệu, cổng chất lượng, phát hành build, Review, Retrospective</t>
  </si>
  <si>
    <t>4.5.1</t>
  </si>
  <si>
    <t xml:space="preserve">        Doc: Cập nhật tài liệu sống sau Sprint 3 (User Story, thiết kế, đặc tả API, ERD, test case)</t>
  </si>
  <si>
    <t>4.5.2</t>
  </si>
  <si>
    <t>4.5.3</t>
  </si>
  <si>
    <t>4.5.4</t>
  </si>
  <si>
    <t>4.5.5</t>
  </si>
  <si>
    <t>Đinh Đức Thắng &amp; Nguyễn Ngọc B &amp; Nguyễn Đức Tân &amp; Phạm Minh D</t>
  </si>
  <si>
    <t>BA &amp; DEV3 &amp; PM &amp; QC2</t>
  </si>
  <si>
    <t>4.5.6</t>
  </si>
  <si>
    <t>4.5.7</t>
  </si>
  <si>
    <t>5</t>
  </si>
  <si>
    <t>Sprint 4: Menu Layer và tích hợp hệ thống khách hàng</t>
  </si>
  <si>
    <t>Menu Layer; kết nối Main System/Transportation Operation</t>
  </si>
  <si>
    <t>5.1</t>
  </si>
  <si>
    <t xml:space="preserve">    Lập kế hoạch Sprint 4</t>
  </si>
  <si>
    <t>Sprint Backlog + Sprint Goal; Backlog Sprint 5 sẵn sàng</t>
  </si>
  <si>
    <t>5.1.1</t>
  </si>
  <si>
    <t xml:space="preserve">        Planning: Sprint planning, chốt Sprint Goal và Sprint Backlog (gồm lỗi tồn đọng Sprint 3)</t>
  </si>
  <si>
    <t>5.1.2</t>
  </si>
  <si>
    <t xml:space="preserve">        Planning: Tinh chỉnh backlog cho Sprint 5 (làm rõ User Story, ước lượng, ưu tiên)</t>
  </si>
  <si>
    <t>Backlog Sprint 5 sẵn sàng</t>
  </si>
  <si>
    <t>5.2</t>
  </si>
  <si>
    <t xml:space="preserve">    Phát triển: Menu Layer và tích hợp hệ thống khách hàng</t>
  </si>
  <si>
    <t>Menu Layer</t>
  </si>
  <si>
    <t>5.2.1</t>
  </si>
  <si>
    <t xml:space="preserve">        FE: Xây dựng Menu Layer (menu, điều hướng, trang chủ) (gồm unit test)</t>
  </si>
  <si>
    <t>Vũ Tuấn A &amp; Nguyễn Thị Thu Thủy</t>
  </si>
  <si>
    <t>DEV2 &amp; UX</t>
  </si>
  <si>
    <t>5.3</t>
  </si>
  <si>
    <t xml:space="preserve">    Xây dựng kết nối tích hợp Main System, Transportation Operation</t>
  </si>
  <si>
    <t>Đồng bộ sản phẩm Main System → Selling DB; chuyển đơn và nhận trạng thái vận chuyển; cơ chế lỗi/đối soát</t>
  </si>
  <si>
    <t>5.3.1</t>
  </si>
  <si>
    <t xml:space="preserve">        BE: Kết nối đồng bộ dữ liệu sản phẩm từ Main System sang Selling DB (gồm unit test)</t>
  </si>
  <si>
    <t>Kết nối đồng bộ sản phẩm</t>
  </si>
  <si>
    <t>Nguyễn Thị Phương &amp; Vũ Tuấn A</t>
  </si>
  <si>
    <t>DEV1 &amp; DEV2</t>
  </si>
  <si>
    <t>5.3.2</t>
  </si>
  <si>
    <t xml:space="preserve">        BE: Kết nối chuyển đơn hàng sang Main System và Transportation Operation; nhận trạng thái vận chuyển (gồm unit test)</t>
  </si>
  <si>
    <t>Kết nối đơn hàng/vận chuyển</t>
  </si>
  <si>
    <t>Nguyễn Thị Phương &amp; Nguyễn Ngọc B &amp; Nguyễn Văn F</t>
  </si>
  <si>
    <t>DEV1 &amp; DEV3 &amp; DEV4</t>
  </si>
  <si>
    <t>3.4, 3.5</t>
  </si>
  <si>
    <t>5.3.3</t>
  </si>
  <si>
    <t xml:space="preserve">        BE: Xử lý lỗi, nhật ký và đối soát dữ liệu tích hợp</t>
  </si>
  <si>
    <t>Cơ chế lỗi/nhật ký/đối soát tích hợp</t>
  </si>
  <si>
    <t>3.7</t>
  </si>
  <si>
    <t>5.3.4</t>
  </si>
  <si>
    <t xml:space="preserve">        FE: Hiển thị trạng thái đơn/vận chuyển từ tích hợp và thông báo lỗi thân thiện (gồm unit test)</t>
  </si>
  <si>
    <t>Màn hình trạng thái đơn/vận chuyển</t>
  </si>
  <si>
    <t>3.5</t>
  </si>
  <si>
    <t>5.3.5</t>
  </si>
  <si>
    <t xml:space="preserve">        Đồng bộ tồn kho từ Main System chu kỳ không quá 15 phút; xử lý lệch tồn, cảnh báo</t>
  </si>
  <si>
    <t>Bộ kết nối đồng bộ tồn kho</t>
  </si>
  <si>
    <t>5.3.6</t>
  </si>
  <si>
    <t xml:space="preserve">        Đồng bộ dữ liệu khách hàng hai chiều với Main System; báo cáo đối soát</t>
  </si>
  <si>
    <t>Bộ kết nối đồng bộ khách hàng</t>
  </si>
  <si>
    <t>3.6</t>
  </si>
  <si>
    <t>5.3.7</t>
  </si>
  <si>
    <t xml:space="preserve">        Thiết lập kết nối VPN IPSec và hàng đợi RabbitMQ với Main System</t>
  </si>
  <si>
    <t>Kết nối VPN; hàng đợi tin nhắn</t>
  </si>
  <si>
    <t>HSDT 1.5</t>
  </si>
  <si>
    <t>5.4</t>
  </si>
  <si>
    <t xml:space="preserve">    Kiểm thử và sửa lỗi Sprint 4</t>
  </si>
  <si>
    <t>Test case của Sprint (từ User Story/AC); Bộ regression tự động cập nhật; Báo cáo kiểm thử chức năng Sprint; danh sách lỗi; Lỗi Sprint đã sửa và verify; Báo cáo Integration Test</t>
  </si>
  <si>
    <t>5.4.1</t>
  </si>
  <si>
    <t xml:space="preserve">        Test: Thiết kế test case Sprint 4 (Menu Layer, hiển thị trạng thái đơn, luồng tích hợp) từ User Story/AC</t>
  </si>
  <si>
    <t>5.4.2</t>
  </si>
  <si>
    <t xml:space="preserve">        Test: Bổ sung bộ regression tự động: Menu Layer và luồng đơn hàng</t>
  </si>
  <si>
    <t>5.4.3</t>
  </si>
  <si>
    <t xml:space="preserve">        Test: Kiểm thử chức năng Sprint 4: Menu Layer, trạng thái đơn/vận chuyển và regression Sprint 1-3</t>
  </si>
  <si>
    <t>5.4.4</t>
  </si>
  <si>
    <t>5.4.5</t>
  </si>
  <si>
    <t xml:space="preserve">        Integration test (Dev): trao đổi dữ liệu Website - Selling DB - Main System - Transportation Operation</t>
  </si>
  <si>
    <t>Báo cáo Integration Test</t>
  </si>
  <si>
    <t>Nguyễn Thị Phương &amp; Nguyễn Hữu C</t>
  </si>
  <si>
    <t>DEV1 &amp; QC1</t>
  </si>
  <si>
    <t>5.5</t>
  </si>
  <si>
    <t xml:space="preserve">    Hoàn tất Sprint 4: tài liệu, cổng chất lượng, phát hành build, Review, Retrospective</t>
  </si>
  <si>
    <t>5.5.1</t>
  </si>
  <si>
    <t xml:space="preserve">        Doc: Cập nhật tài liệu sống sau Sprint 4 (User Story, đặc tả tích hợp/API, thiết kế, ERD, test case)</t>
  </si>
  <si>
    <t>5.5.2</t>
  </si>
  <si>
    <t>5.5.3</t>
  </si>
  <si>
    <t>5.5.4</t>
  </si>
  <si>
    <t>5.5.5</t>
  </si>
  <si>
    <t>Đinh Đức Thắng &amp; Vũ Tuấn A &amp; Nguyễn Thị Phương &amp; Nguyễn Đức Tân &amp; Phạm Minh D</t>
  </si>
  <si>
    <t>BA &amp; DEV2 &amp; DEV1 &amp; PM &amp; QC2</t>
  </si>
  <si>
    <t>5.5.6</t>
  </si>
  <si>
    <t>5.5.7</t>
  </si>
  <si>
    <t>6</t>
  </si>
  <si>
    <t>Sprint 5: New Operational Flow và hoàn thiện (Release Candidate)</t>
  </si>
  <si>
    <t>New Operational Flow, bảo mật và hoàn thiện giao diện; Release Candidate gắn phiên bản trên STG</t>
  </si>
  <si>
    <t>6.1</t>
  </si>
  <si>
    <t xml:space="preserve">    Lập kế hoạch Sprint 5</t>
  </si>
  <si>
    <t>6.1.1</t>
  </si>
  <si>
    <t xml:space="preserve">        Planning: Sprint planning, chốt Sprint Goal và Sprint Backlog (gồm lỗi tồn đọng Sprint 4)</t>
  </si>
  <si>
    <t>6.2</t>
  </si>
  <si>
    <t xml:space="preserve">    Phát triển: New Operational Flow và hoàn thiện (Release Candidate)</t>
  </si>
  <si>
    <t>New Operational Flow; Bản BE củng cố bảo mật; Nội dung đa ngôn ngữ; Báo cáo tương thích trình duyệt/thiết bị</t>
  </si>
  <si>
    <t>6.2.1</t>
  </si>
  <si>
    <t xml:space="preserve">        BE: Xây dựng New Operational Flow: luồng trạng thái, quy tắc xử lý, cấu hình luồng (gồm unit test)</t>
  </si>
  <si>
    <t>New Operational Flow</t>
  </si>
  <si>
    <t>—</t>
  </si>
  <si>
    <t>6.2.2</t>
  </si>
  <si>
    <t xml:space="preserve">        BE: Hoàn thiện, củng cố bảo mật (kiểm soát đầu vào, xử lý lỗi, nhật ký) và tối ưu API</t>
  </si>
  <si>
    <t>Bản BE củng cố bảo mật</t>
  </si>
  <si>
    <t>Nguyễn Văn F</t>
  </si>
  <si>
    <t>DEV4</t>
  </si>
  <si>
    <t>2.1, 2.22</t>
  </si>
  <si>
    <t>6.2.3</t>
  </si>
  <si>
    <t xml:space="preserve">        FE: Hoàn thiện đa ngôn ngữ (tiếng Việt chuẩn; cấu hình thêm tiếng Anh)</t>
  </si>
  <si>
    <t>Nội dung đa ngôn ngữ</t>
  </si>
  <si>
    <t>6.2.4</t>
  </si>
  <si>
    <t xml:space="preserve">        FE: Hoàn thiện giao diện, kiểm tra tương thích Chrome/Firefox/Safari/Edge và thiết bị di động</t>
  </si>
  <si>
    <t>Báo cáo tương thích trình duyệt/thiết bị</t>
  </si>
  <si>
    <t>6.2.5</t>
  </si>
  <si>
    <t xml:space="preserve">        Bộ nhớ đệm Redis (danh mục, chi tiết, tồn kho, phiên) và CDN hình ảnh WebP</t>
  </si>
  <si>
    <t>Cache Redis; CDN</t>
  </si>
  <si>
    <t>Nguyễn Văn G &amp; Vũ Tuấn A &amp; Trần Hùng E</t>
  </si>
  <si>
    <t>DEV5 &amp; DEV2 &amp; OPS</t>
  </si>
  <si>
    <t>2.16</t>
  </si>
  <si>
    <t>6.3</t>
  </si>
  <si>
    <t xml:space="preserve">    Kiểm thử và sửa lỗi Sprint 5</t>
  </si>
  <si>
    <t>6.3.1</t>
  </si>
  <si>
    <t xml:space="preserve">        Test: Thiết kế test case Sprint 5 (New Operational Flow) từ User Story/AC</t>
  </si>
  <si>
    <t>6.3.2</t>
  </si>
  <si>
    <t xml:space="preserve">        Test: Hoàn thiện và bàn giao bộ regression tự động toàn hệ thống: hợp nhất script Sprint 1-4, chia nhóm smoke/regression, chạy được trên CI/STG, viết hướng dẫn chạy</t>
  </si>
  <si>
    <t>6.3.3</t>
  </si>
  <si>
    <t xml:space="preserve">        Test: Kiểm thử chức năng Sprint 5: New Operational Flow và regression toàn hệ thống</t>
  </si>
  <si>
    <t>6.3.4</t>
  </si>
  <si>
    <t>Nguyễn Thị Phương &amp; Vũ Tuấn A &amp; Nguyễn Ngọc B &amp; Nguyễn Văn F &amp; Nguyễn Văn G</t>
  </si>
  <si>
    <t>DEV1 &amp; DEV2 &amp; DEV3 &amp; DEV4 &amp; DEV5</t>
  </si>
  <si>
    <t>6.4</t>
  </si>
  <si>
    <t xml:space="preserve">    Môi trường STG tương thích PRD</t>
  </si>
  <si>
    <t>STG tương thích PRD</t>
  </si>
  <si>
    <t>6.4.1</t>
  </si>
  <si>
    <t xml:space="preserve">        Nâng cấp STG tương thích PRD (Load Balancer, 02 Web/Application Server) phục vụ test tải và chuyển đổi dự phòng</t>
  </si>
  <si>
    <t>6.5</t>
  </si>
  <si>
    <t xml:space="preserve">    Hoàn tất Sprint 5: tài liệu, cổng chất lượng, phát hành build, Review, Retrospective</t>
  </si>
  <si>
    <t>Tài liệu sống bản cập nhật (SRS/User Story, thiết kế/API/ERD, test case); Biên bản quality gate Sprint; Release Candidate (RC) trên STG; Kết quả chạy regression tự động; Biên bản Sprint Review; phản hồi của ABC Wear; Báo cáo kết quả Sprint; Danh sách hành động cải tiến</t>
  </si>
  <si>
    <t>6.5.1</t>
  </si>
  <si>
    <t xml:space="preserve">        Doc: Cập nhật tài liệu sống sau Sprint 5 (User Story, thiết kế, đặc tả API, ERD, test case)</t>
  </si>
  <si>
    <t>6.5.2</t>
  </si>
  <si>
    <t>6.5.3</t>
  </si>
  <si>
    <t xml:space="preserve">        Release: Commit mã nguồn, gắn phiên bản Release Candidate, đóng băng tính năng và triển khai lên STG tương thích PRD</t>
  </si>
  <si>
    <t>Release Candidate (RC) trên STG</t>
  </si>
  <si>
    <t>6.5.4</t>
  </si>
  <si>
    <t>6.5.5</t>
  </si>
  <si>
    <t>Đinh Đức Thắng &amp; Nguyễn Ngọc B &amp; Nguyễn Văn F &amp; Vũ Tuấn A &amp; Nguyễn Đức Tân &amp; Phạm Minh D</t>
  </si>
  <si>
    <t>BA &amp; DEV3 &amp; DEV4 &amp; DEV2 &amp; PM &amp; QC2</t>
  </si>
  <si>
    <t>6.5.6</t>
  </si>
  <si>
    <t>6.5.7</t>
  </si>
  <si>
    <t>7</t>
  </si>
  <si>
    <t>Ổn định hệ thống (Hardening) và kiểm thử cấp phát hành: tích hợp lặp lại, SIT, hiệu năng, an toàn thông tin, vận hành thử, UAT, hồi quy, kiểm tra trước phát hành</t>
  </si>
  <si>
    <t>7.1</t>
  </si>
  <si>
    <t xml:space="preserve">    Kiểm thử tích hợp lặp lại trên STG tương thích PRD</t>
  </si>
  <si>
    <t>Báo cáo Integration Test lặp lại</t>
  </si>
  <si>
    <t>7.1.1</t>
  </si>
  <si>
    <t xml:space="preserve">        Kiểm thử tích hợp lặp lại trên STG tương thích PRD với Release Candidate (Dev)</t>
  </si>
  <si>
    <t>7.2</t>
  </si>
  <si>
    <t xml:space="preserve">    Kiểm thử hệ thống (SIT) end-to-end - Tester</t>
  </si>
  <si>
    <t>Báo cáo SIT; danh sách lỗi</t>
  </si>
  <si>
    <t>7.2.1</t>
  </si>
  <si>
    <t xml:space="preserve">        SIT toàn bộ luồng nghiệp vụ từ đầu đến cuối: quản lý thành viên, tìm kiếm sản phẩm, quản lý đơn hàng, xử lý dữ liệu, phân quyền, tích hợp</t>
  </si>
  <si>
    <t>Báo cáo SIT toàn hệ thống</t>
  </si>
  <si>
    <t>Nguyễn Hữu C &amp; Phạm Minh D</t>
  </si>
  <si>
    <t>QC1 &amp; QC2</t>
  </si>
  <si>
    <t>7.3</t>
  </si>
  <si>
    <t xml:space="preserve">    Kiểm thử hiệu năng - Dev</t>
  </si>
  <si>
    <t>Báo cáo kiểm thử tải và chịu tải đạt chỉ tiêu</t>
  </si>
  <si>
    <t>7.3.1</t>
  </si>
  <si>
    <t xml:space="preserve">        Kiểm thử tải: 400 người dùng đồng thời, API &lt; 500 ms, trang chính &lt; 2 giây</t>
  </si>
  <si>
    <t>Báo cáo load test</t>
  </si>
  <si>
    <t>Nguyễn Hữu C &amp; Nguyễn Văn G</t>
  </si>
  <si>
    <t>QC1 &amp; DEV5</t>
  </si>
  <si>
    <t>7.3.2</t>
  </si>
  <si>
    <t xml:space="preserve">        Kiểm thử chịu tải (stress), mở rộng ngang và chuyển đổi dự phòng giữa 02 Web/Application Server</t>
  </si>
  <si>
    <t>Báo cáo stress/failover</t>
  </si>
  <si>
    <t>Nguyễn Hữu C &amp; Trần Hùng E &amp; Nguyễn Hải Đăng</t>
  </si>
  <si>
    <t>QC1 &amp; OPS &amp; SA</t>
  </si>
  <si>
    <t>7.3.3</t>
  </si>
  <si>
    <t xml:space="preserve">        FE: Tối ưu tốc độ tải trang theo kết quả đo (mục tiêu các trang chính &lt; 2 giây)</t>
  </si>
  <si>
    <t>Báo cáo tối ưu tốc độ tải trang</t>
  </si>
  <si>
    <t>7.4</t>
  </si>
  <si>
    <t xml:space="preserve">    Kiểm thử an toàn thông tin - Dev</t>
  </si>
  <si>
    <t>Báo cáo ATTT; lỗ hổng đã xử lý</t>
  </si>
  <si>
    <t>7.4.1</t>
  </si>
  <si>
    <t xml:space="preserve">        Kiểm thử an toàn thông tin: xác thực, phân quyền, kiểm soát dữ liệu đầu vào, các nhóm lỗ hổng phổ biến (OWASP)</t>
  </si>
  <si>
    <t>Báo cáo kiểm thử ATTT</t>
  </si>
  <si>
    <t>Phạm Minh D &amp; Nguyễn Văn F</t>
  </si>
  <si>
    <t>QC2 &amp; DEV4</t>
  </si>
  <si>
    <t>7.5</t>
  </si>
  <si>
    <t xml:space="preserve">    Khắc phục lỗi và kiểm thử hồi quy sau SIT/hiệu năng/ATTT - Dev, Tester</t>
  </si>
  <si>
    <t>Lỗi SIT/hiệu năng/ATTT đã khắc phục; regression đạt</t>
  </si>
  <si>
    <t>7.5.1</t>
  </si>
  <si>
    <t xml:space="preserve">        Fix: Khắc phục lỗi SIT đợt 1</t>
  </si>
  <si>
    <t>Lỗi SIT đợt 1 đã sửa</t>
  </si>
  <si>
    <t>7.5.2</t>
  </si>
  <si>
    <t xml:space="preserve">        Fix: Khắc phục lỗi SIT đợt 2, hiệu năng, an toàn thông tin; tối ưu hiệu năng API, truy vấn và chỉ mục Selling DB</t>
  </si>
  <si>
    <t>Lỗi hiệu năng/ATTT đã sửa; Selling DB đã tối ưu</t>
  </si>
  <si>
    <t>7.5.3</t>
  </si>
  <si>
    <t xml:space="preserve">        Kiểm thử hồi quy sau khắc phục lỗi SIT/hiệu năng/an toàn thông tin</t>
  </si>
  <si>
    <t>Báo cáo regression đợt 1</t>
  </si>
  <si>
    <t>7.6</t>
  </si>
  <si>
    <t xml:space="preserve">    Vận hành thử (Dev) và UAT (PM cùng ABC Wear)</t>
  </si>
  <si>
    <t>Biên bản vận hành thử; biên bản UAT được ABC Wear xác nhận</t>
  </si>
  <si>
    <t>7.6.1</t>
  </si>
  <si>
    <t xml:space="preserve">        Kiểm thử vận hành thử trên UAT/STG: thực hiện quy trình nghiệp vụ thực tế, ghi nhận vấn đề cần điều chỉnh</t>
  </si>
  <si>
    <t>Báo cáo vận hành thử</t>
  </si>
  <si>
    <t>Phạm Minh D &amp; Nguyễn Thị Phương &amp; Trần Hùng E</t>
  </si>
  <si>
    <t>QC2 &amp; DEV1 &amp; OPS</t>
  </si>
  <si>
    <t>4.6</t>
  </si>
  <si>
    <t>7.6.2</t>
  </si>
  <si>
    <t xml:space="preserve">        UAT: ABC Wear kiểm tra và xác nhận hệ thống theo kịch bản và tiêu chí nghiệm thu đã thống nhất; PM điều phối cùng stakeholder</t>
  </si>
  <si>
    <t>Biên bản UAT (ABC Wear xác nhận)</t>
  </si>
  <si>
    <t>7.6.3</t>
  </si>
  <si>
    <t xml:space="preserve">        Hỗ trợ UAT: hướng dẫn kịch bản, ghi nhận và theo dõi lỗi cùng ABC Wear</t>
  </si>
  <si>
    <t>Nhật ký lỗi UAT</t>
  </si>
  <si>
    <t>Phạm Minh D &amp; Nguyễn Hữu C &amp; Đinh Đức Thắng</t>
  </si>
  <si>
    <t>QC2 &amp; QC1 &amp; BA</t>
  </si>
  <si>
    <t>7.6.4</t>
  </si>
  <si>
    <t xml:space="preserve">        Fix: Khắc phục lỗi phát sinh từ vận hành thử và UAT</t>
  </si>
  <si>
    <t>Lỗi vận hành thử/UAT đã sửa</t>
  </si>
  <si>
    <t>7.6.5</t>
  </si>
  <si>
    <t xml:space="preserve">        Kiểm thử hồi quy sau khắc phục lỗi UAT</t>
  </si>
  <si>
    <t>Báo cáo regression đợt 2</t>
  </si>
  <si>
    <t>7.6.6</t>
  </si>
  <si>
    <t xml:space="preserve">        Kiểm tra khả năng phục hồi từ bản sao lưu (restore test) trước bàn giao</t>
  </si>
  <si>
    <t>Biên bản restore test</t>
  </si>
  <si>
    <t>Nguyễn Hữu C &amp; Nguyễn Văn G &amp; Trần Hùng E</t>
  </si>
  <si>
    <t>QC1 &amp; DEV5 &amp; OPS</t>
  </si>
  <si>
    <t>HSDT 1.3</t>
  </si>
  <si>
    <t>7.6.7</t>
  </si>
  <si>
    <t xml:space="preserve">        Diễn tập phục hồi sự cố: RTO dưới 2 giờ, RPO dưới 15 phút</t>
  </si>
  <si>
    <t>Biên bản diễn tập phục hồi</t>
  </si>
  <si>
    <t>Nguyễn Hữu C &amp; Trần Hùng E</t>
  </si>
  <si>
    <t>QC1 &amp; OPS</t>
  </si>
  <si>
    <t>7.7</t>
  </si>
  <si>
    <t xml:space="preserve">    Báo cáo kiểm thử</t>
  </si>
  <si>
    <t>Báo cáo kiểm thử tích hợp/SIT/hiệu năng/ATTT; báo cáo SIT/UAT theo use case</t>
  </si>
  <si>
    <t>7.7.1</t>
  </si>
  <si>
    <t xml:space="preserve">        Lập báo cáo kiểm thử (tích hợp, SIT, hiệu năng, an toàn thông tin)</t>
  </si>
  <si>
    <t>Báo cáo kiểm thử tổng hợp</t>
  </si>
  <si>
    <t>Nguyễn Hữu C &amp; Nguyễn Đức Tân</t>
  </si>
  <si>
    <t>QC1 &amp; PM</t>
  </si>
  <si>
    <t>4.2, 4.6</t>
  </si>
  <si>
    <t>7.7.2</t>
  </si>
  <si>
    <t xml:space="preserve">        Kiểm tra lỗi và báo cáo kết quả theo use case (SIT, UAT)</t>
  </si>
  <si>
    <t>Báo cáo kết quả theo use case</t>
  </si>
  <si>
    <t>7.8</t>
  </si>
  <si>
    <t xml:space="preserve">    Kiểm tra trước phát hành (cổng chất lượng cuối)</t>
  </si>
  <si>
    <t>Biên bản kiểm tra trước phát hành</t>
  </si>
  <si>
    <t>7.8.1</t>
  </si>
  <si>
    <t xml:space="preserve">        Kiểm tra trước phát hành: phiên bản cuối, cấu hình triển khai, dữ liệu cần thiết, điều kiện vận hành</t>
  </si>
  <si>
    <t>Nguyễn Hữu C &amp; Phạm Minh D &amp; Nguyễn Hải Đăng</t>
  </si>
  <si>
    <t>QC1 &amp; QC2 &amp; SA</t>
  </si>
  <si>
    <t>8</t>
  </si>
  <si>
    <t>Triển khai và vận hành hệ thống</t>
  </si>
  <si>
    <t>8.1</t>
  </si>
  <si>
    <t xml:space="preserve">    Môi trường PRD và vận hành</t>
  </si>
  <si>
    <t>PRD sẵn sàng; giám sát, cảnh báo; sao lưu tự động hằng ngày</t>
  </si>
  <si>
    <t>8.1.1</t>
  </si>
  <si>
    <t xml:space="preserve">        Chuẩn bị môi trường PRD: Load Balancer, 02 Web/Application Server, DB Server chính, khu vực sao lưu, TLS/HTTPS, firewall</t>
  </si>
  <si>
    <t>Môi trường PRD</t>
  </si>
  <si>
    <t>8.1.2</t>
  </si>
  <si>
    <t xml:space="preserve">        Thiết lập hệ thống giám sát (máy chủ, ứng dụng, cơ sở dữ liệu), cảnh báo và nhật ký hoạt động</t>
  </si>
  <si>
    <t>Hệ thống giám sát &amp; cảnh báo</t>
  </si>
  <si>
    <t>8.1.3</t>
  </si>
  <si>
    <t xml:space="preserve">        Thiết lập sao lưu tự động hằng ngày cho dữ liệu và cấu hình quan trọng</t>
  </si>
  <si>
    <t>Cơ chế sao lưu tự động</t>
  </si>
  <si>
    <t>8.2</t>
  </si>
  <si>
    <t xml:space="preserve">    Triển khai lên PRD</t>
  </si>
  <si>
    <t>Hệ thống chạy trên PRD; smoke test đạt</t>
  </si>
  <si>
    <t>8.2.1</t>
  </si>
  <si>
    <t xml:space="preserve">        Sao lưu dữ liệu/cấu hình trước triển khai; chốt phương án quay lui (rollback)</t>
  </si>
  <si>
    <t>Bản sao lưu + kế hoạch rollback</t>
  </si>
  <si>
    <t>Trần Hùng E &amp; Nguyễn Văn G</t>
  </si>
  <si>
    <t>OPS &amp; DEV5</t>
  </si>
  <si>
    <t>8.2.2</t>
  </si>
  <si>
    <t xml:space="preserve">        Triển khai hệ thống lên môi trường PRD theo kiểm soát phiên bản và cấu hình</t>
  </si>
  <si>
    <t>Hệ thống trên PRD</t>
  </si>
  <si>
    <t>Trần Hùng E &amp; Nguyễn Thị Phương</t>
  </si>
  <si>
    <t>OPS &amp; DEV1</t>
  </si>
  <si>
    <t>8.2.3</t>
  </si>
  <si>
    <t xml:space="preserve">        Kiểm tra chức năng và cấu hình sau triển khai (smoke test); xử lý lỗi phát sinh</t>
  </si>
  <si>
    <t>Biên bản smoke test</t>
  </si>
  <si>
    <t>Trần Hùng E &amp; Nguyễn Thị Phương &amp; Phạm Minh D</t>
  </si>
  <si>
    <t>OPS &amp; DEV1 &amp; QC2</t>
  </si>
  <si>
    <t>8.2.4</t>
  </si>
  <si>
    <t xml:space="preserve">        Chuyển đổi dữ liệu: công cụ, chạy thử, đối soát danh mục 25 cửa hàng trước go-live</t>
  </si>
  <si>
    <t>Công cụ chuyển đổi; biên bản đối soát</t>
  </si>
  <si>
    <t>Nguyễn Văn G &amp; Vũ Tuấn A &amp; Đinh Đức Thắng</t>
  </si>
  <si>
    <t>DEV5 &amp; DEV2 &amp; BA</t>
  </si>
  <si>
    <t>8.2.5</t>
  </si>
  <si>
    <t xml:space="preserve">        Diễn tập cut-over 02 lần; họp Go/No-go</t>
  </si>
  <si>
    <t>Biên bản diễn tập; biên bản Go/No-go</t>
  </si>
  <si>
    <t>Trần Hùng E &amp; Nguyễn Thị Phương &amp; Nguyễn Hữu C &amp; Nguyễn Đức Tân</t>
  </si>
  <si>
    <t>OPS &amp; DEV1 &amp; QC1 &amp; PM</t>
  </si>
  <si>
    <t>8.3</t>
  </si>
  <si>
    <t xml:space="preserve">    Go-live và theo dõi giai đoạn đầu</t>
  </si>
  <si>
    <t>Hệ thống vận hành chính thức</t>
  </si>
  <si>
    <t>8.3.1</t>
  </si>
  <si>
    <t xml:space="preserve">        Go-live: đưa hệ thống vào vận hành chính thức, theo dõi giai đoạn đầu (24 giờ/365 ngày)</t>
  </si>
  <si>
    <t>Hệ thống go-live</t>
  </si>
  <si>
    <t>Trần Hùng E &amp; Nguyễn Thị Phương &amp; Vũ Tuấn A &amp; Nguyễn Ngọc B &amp; Nguyễn Văn F &amp; Nguyễn Văn G &amp; Nguyễn Đức Tân</t>
  </si>
  <si>
    <t>OPS &amp; DEV1 &amp; DEV2 &amp; DEV3 &amp; DEV4 &amp; DEV5 &amp; PM</t>
  </si>
  <si>
    <t>8.3.2</t>
  </si>
  <si>
    <t xml:space="preserve">        Hỗ trợ vận hành tăng cường 01 tháng sau go-live</t>
  </si>
  <si>
    <t>Nhật ký hỗ trợ; báo cáo hypercare</t>
  </si>
  <si>
    <t>Trần Hùng E &amp; Nguyễn Thị Phương &amp; Nguyễn Ngọc B &amp; Nguyễn Văn G &amp; Phạm Minh D &amp; Đinh Đức Thắng &amp; Nguyễn Đức Tân</t>
  </si>
  <si>
    <t>OPS &amp; DEV1 &amp; DEV3 &amp; DEV5 &amp; QC2 &amp; BA &amp; PM</t>
  </si>
  <si>
    <t>9</t>
  </si>
  <si>
    <t>Bàn giao tài liệu (trên MS Teams), đào tạo và nghiệm thu</t>
  </si>
  <si>
    <t>9.1</t>
  </si>
  <si>
    <t xml:space="preserve">    Hồ sơ bàn giao (chốt phiên bản cuối từ tài liệu sống đã cập nhật qua 5 Sprint)</t>
  </si>
  <si>
    <t>Bộ hồ sơ bàn giao: thiết kế, API, kiểm thử, hướng dẫn sử dụng/vận hành/triển khai</t>
  </si>
  <si>
    <t>9.1.1</t>
  </si>
  <si>
    <t xml:space="preserve">        Chốt bản cuối tài liệu thiết kế: HLD, UI/UX, mô hình dữ liệu/CSDL (theo bản nghiệm thu)</t>
  </si>
  <si>
    <t>Tài liệu thiết kế bản cuối</t>
  </si>
  <si>
    <t>Nguyễn Văn G &amp; Nguyễn Hải Đăng &amp; Nguyễn Thị Thu Thủy</t>
  </si>
  <si>
    <t>DEV5 &amp; SA &amp; UX</t>
  </si>
  <si>
    <t>9.1.2</t>
  </si>
  <si>
    <t xml:space="preserve">        Chốt bản cuối đặc tả giao diện tích hợp/API và cấu hình triển khai</t>
  </si>
  <si>
    <t>Đặc tả tích hợp/API bản cuối</t>
  </si>
  <si>
    <t>9.1.3</t>
  </si>
  <si>
    <t xml:space="preserve">        Tổng hợp tài liệu kiểm thử (kế hoạch, test case, kết quả chức năng, tích hợp, hiệu năng, an toàn thông tin, UAT)</t>
  </si>
  <si>
    <t>Bộ tài liệu kiểm thử</t>
  </si>
  <si>
    <t>9.1.4</t>
  </si>
  <si>
    <t xml:space="preserve">        Tài liệu hướng dẫn sử dụng cho người dùng nghiệp vụ và nhóm quản trị</t>
  </si>
  <si>
    <t>Hướng dẫn sử dụng</t>
  </si>
  <si>
    <t>9.1.5</t>
  </si>
  <si>
    <t xml:space="preserve">        Tài liệu hướng dẫn vận hành (giám sát, nhật ký, sao lưu/phục hồi, xử lý sự cố)</t>
  </si>
  <si>
    <t>Hướng dẫn vận hành</t>
  </si>
  <si>
    <t>Trần Hùng E &amp; Đinh Đức Thắng</t>
  </si>
  <si>
    <t>OPS &amp; BA</t>
  </si>
  <si>
    <t>9.1.6</t>
  </si>
  <si>
    <t xml:space="preserve">        Tài liệu hướng dẫn triển khai, cài đặt và bảo trì trên các môi trường (DEV, UAT/STG, PRD)</t>
  </si>
  <si>
    <t>Hướng dẫn triển khai/bảo trì</t>
  </si>
  <si>
    <t>9.1.7</t>
  </si>
  <si>
    <t xml:space="preserve">        Rà soát hồ sơ bàn giao: thống nhất giữa sản phẩm, mã nguồn, cấu hình và tài liệu</t>
  </si>
  <si>
    <t>Biên bản rà soát hồ sơ bàn giao</t>
  </si>
  <si>
    <t>9.2</t>
  </si>
  <si>
    <t xml:space="preserve">    Bàn giao mã nguồn và đào tạo</t>
  </si>
  <si>
    <t>Mã nguồn bàn giao; nhân sự ABC Wear được đào tạo</t>
  </si>
  <si>
    <t>9.2.1</t>
  </si>
  <si>
    <t xml:space="preserve">        Bàn giao mã nguồn và các thành phần kỹ thuật thuộc phạm vi hợp đồng</t>
  </si>
  <si>
    <t>Mã nguồn + thành phần kỹ thuật bàn giao</t>
  </si>
  <si>
    <t>Ghi chú 8 Bảng giá</t>
  </si>
  <si>
    <t>9.2.2</t>
  </si>
  <si>
    <t xml:space="preserve">        Đào tạo nhóm quản trị, vận hành và người dùng nghiệp vụ của ABC Wear</t>
  </si>
  <si>
    <t>Buổi đào tạo + tài liệu đào tạo</t>
  </si>
  <si>
    <t>Trần Hùng E &amp; Đinh Đức Thắng &amp; Nguyễn Đức Tân</t>
  </si>
  <si>
    <t>OPS &amp; BA &amp; PM</t>
  </si>
  <si>
    <t>9.3</t>
  </si>
  <si>
    <t xml:space="preserve">    Hỗ trợ sau triển khai và nghiệm thu</t>
  </si>
  <si>
    <t>Kênh hỗ trợ 01 năm; biên bản nghiệm thu</t>
  </si>
  <si>
    <t>9.3.1</t>
  </si>
  <si>
    <t xml:space="preserve">        Thiết lập kênh tiếp nhận hỗ trợ (email, điện thoại, ticket), phân loại P1-P4 và quy trình hỗ trợ trong 01 năm</t>
  </si>
  <si>
    <t>Quy trình và kênh hỗ trợ P1-P4</t>
  </si>
  <si>
    <t>Trần Hùng E &amp; Nguyễn Đức Tân</t>
  </si>
  <si>
    <t>OPS &amp; PM</t>
  </si>
  <si>
    <t>9.3.2</t>
  </si>
  <si>
    <t xml:space="preserve">        Lập biên bản bàn giao, nghiệm thu; tổng kết bài học kinh nghiệm</t>
  </si>
  <si>
    <t>Biên bản bàn giao/nghiệm thu; bài học kinh nghiệm</t>
  </si>
  <si>
    <t>Đinh Đức Thắng &amp; Nguyễn Đức Tân</t>
  </si>
  <si>
    <t>BA &amp; PM</t>
  </si>
  <si>
    <t>10</t>
  </si>
  <si>
    <t>Quản lý dự án (xuyên suốt)</t>
  </si>
  <si>
    <t>10.1</t>
  </si>
  <si>
    <t xml:space="preserve">    Điều phối, giao tiếp, rủi ro và báo cáo</t>
  </si>
  <si>
    <t>Báo cáo tuần; sổ rủi ro/vấn đề/thay đổi</t>
  </si>
  <si>
    <t>10.1.1</t>
  </si>
  <si>
    <t xml:space="preserve">        Communication, theo dõi tiến độ (họp hằng ngày/hằng tuần/cuối Sprint), xử lý vấn đề</t>
  </si>
  <si>
    <t>Biên bản họp; báo cáo tiến độ tuần</t>
  </si>
  <si>
    <t>10.1.2</t>
  </si>
  <si>
    <t xml:space="preserve">        Quản lý rủi ro, vấn đề, thay đổi phạm vi (change control); giám sát, cố vấn kỹ thuật</t>
  </si>
  <si>
    <t>Sổ rủi ro/vấn đề/thay đổi</t>
  </si>
  <si>
    <t>10.1.3</t>
  </si>
  <si>
    <t xml:space="preserve">        Tổng hợp báo cáo tiến độ, chất lượng và lỗi gửi ABC Wear</t>
  </si>
  <si>
    <t>Báo cáo tiến độ/chất lượng/lỗi</t>
  </si>
  <si>
    <t>Total</t>
  </si>
  <si>
    <t>Nhóm vai trò</t>
  </si>
  <si>
    <t>QC</t>
  </si>
  <si>
    <t>DEV</t>
  </si>
  <si>
    <t>Mã</t>
  </si>
  <si>
    <t>STT</t>
  </si>
  <si>
    <t>Họ và tên</t>
  </si>
  <si>
    <t>Vị trí công việc</t>
  </si>
  <si>
    <t>PM – Quản lý dự án</t>
  </si>
  <si>
    <t>SA – Kiến trúc hệ thống</t>
  </si>
  <si>
    <t>BA – Phân tích nghiệp vụ</t>
  </si>
  <si>
    <t>UX – Thiết kế giao diện</t>
  </si>
  <si>
    <t>DEV1 – Lập trình viên chính phụ trách Phân hệ Khách hàng và Tích hợp</t>
  </si>
  <si>
    <t>DEV2 – Lập trình viên phụ trách Phân hệ Sản phẩm, Tìm kiếm và Tồn kho</t>
  </si>
  <si>
    <t>DEV3 – Lập trình viên phụ trách Phân hệ Đơn hàng, Thanh toán và Logistics</t>
  </si>
  <si>
    <t>QC1 – Kiểm thử trưởng phụ trách Kiểm thử tích hợp, Tự động hóa và Hiệu năng</t>
  </si>
  <si>
    <t>QC2 – Chuyên viên Kiểm thử phụ trách Kiểm thử chức năng, Bảo mật và Nghiệm thu</t>
  </si>
  <si>
    <t>OPS – Kỹ sư Hạ tầng, DevOps và Vận hành</t>
  </si>
  <si>
    <t>DEV4 – Lập trình viên phụ trách Cổng thanh toán và Tích hợp API Gateway</t>
  </si>
  <si>
    <t>DEV5 – Lập trình viên phụ trách Cơ sở dữ liệu Selling DB và Tối ưu hiệu năng</t>
  </si>
  <si>
    <t>Danh sách nhân sự chủ chốt (HSDT)</t>
  </si>
  <si>
    <t>Xây dựng Web Selling Site System - Công ty ABC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</si>
</sst>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;\-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808080"/>
      <name val="Arial"/>
      <family val="2"/>
    </font>
    <font>
      <sz val="10"/>
      <color rgb="FF000000"/>
      <name val="Arial"/>
      <family val="2"/>
    </font>
    <font>
      <sz val="10"/>
      <color rgb="FF808080"/>
      <name val="Arial"/>
      <family val="2"/>
    </font>
    <font>
      <b/>
      <sz val="12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A6A6A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DEB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4" fontId="5" fillId="6" borderId="1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2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D2" sqref="D2"/>
    </sheetView>
  </sheetViews>
  <sheetFormatPr defaultColWidth="8.6328125" defaultRowHeight="14.5" x14ac:dyDescent="0.35"/>
  <cols>
    <col min="1" max="1" width="9" customWidth="1"/>
    <col min="2" max="2" width="5" customWidth="1"/>
    <col min="3" max="3" width="60" customWidth="1"/>
    <col min="4" max="4" width="36" customWidth="1"/>
    <col min="5" max="5" width="30" hidden="1" customWidth="1"/>
    <col min="6" max="6" width="14" customWidth="1"/>
    <col min="7" max="7" width="9" hidden="1" customWidth="1"/>
    <col min="8" max="8" width="22" hidden="1" customWidth="1"/>
    <col min="9" max="9" width="11" hidden="1" customWidth="1"/>
    <col min="10" max="11" width="7" customWidth="1"/>
  </cols>
  <sheetData>
    <row r="1" spans="1:11" ht="18" x14ac:dyDescent="0.4">
      <c r="A1" s="1" t="s">
        <v>881</v>
      </c>
    </row>
    <row r="3" spans="1:11" ht="30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</row>
    <row r="4" spans="1:11" ht="52" x14ac:dyDescent="0.35">
      <c r="A4" s="4" t="s">
        <v>11</v>
      </c>
      <c r="B4" s="4">
        <v>1</v>
      </c>
      <c r="C4" s="5" t="s">
        <v>12</v>
      </c>
      <c r="D4" s="5" t="s">
        <v>13</v>
      </c>
      <c r="E4" s="5"/>
      <c r="F4" s="5"/>
      <c r="G4" s="4"/>
      <c r="H4" s="5"/>
      <c r="I4" s="6" t="e">
        <f>SUMIFS($I$4:$I$251,$K$4:$K$251,A4,$B$4:$B$251,3)</f>
        <v>#REF!</v>
      </c>
      <c r="J4" s="7"/>
      <c r="K4" s="7" t="s">
        <v>11</v>
      </c>
    </row>
    <row r="5" spans="1:11" ht="39" x14ac:dyDescent="0.35">
      <c r="A5" s="8" t="s">
        <v>14</v>
      </c>
      <c r="B5" s="8">
        <v>2</v>
      </c>
      <c r="C5" s="9" t="s">
        <v>15</v>
      </c>
      <c r="D5" s="9" t="s">
        <v>16</v>
      </c>
      <c r="E5" s="9"/>
      <c r="F5" s="9"/>
      <c r="G5" s="8"/>
      <c r="H5" s="9"/>
      <c r="I5" s="10" t="e">
        <f>SUMIFS($I$4:$I$251,$J$4:$J$251,A5)</f>
        <v>#REF!</v>
      </c>
      <c r="J5" s="11" t="s">
        <v>11</v>
      </c>
      <c r="K5" s="11" t="s">
        <v>11</v>
      </c>
    </row>
    <row r="6" spans="1:11" ht="25" x14ac:dyDescent="0.35">
      <c r="A6" s="12" t="s">
        <v>17</v>
      </c>
      <c r="B6" s="12">
        <v>3</v>
      </c>
      <c r="C6" s="13" t="s">
        <v>18</v>
      </c>
      <c r="D6" s="13" t="s">
        <v>19</v>
      </c>
      <c r="E6" s="13" t="s">
        <v>20</v>
      </c>
      <c r="F6" s="13" t="s">
        <v>21</v>
      </c>
      <c r="G6" s="12" t="s">
        <v>11</v>
      </c>
      <c r="H6" s="13"/>
      <c r="I6" s="14" t="e">
        <f>SUMIFS(#REF!,#REF!,A6)</f>
        <v>#REF!</v>
      </c>
      <c r="J6" s="15" t="s">
        <v>14</v>
      </c>
      <c r="K6" s="15" t="s">
        <v>11</v>
      </c>
    </row>
    <row r="7" spans="1:11" ht="25" x14ac:dyDescent="0.35">
      <c r="A7" s="12" t="s">
        <v>22</v>
      </c>
      <c r="B7" s="12">
        <v>3</v>
      </c>
      <c r="C7" s="13" t="s">
        <v>23</v>
      </c>
      <c r="D7" s="13" t="s">
        <v>24</v>
      </c>
      <c r="E7" s="13" t="s">
        <v>25</v>
      </c>
      <c r="F7" s="13" t="s">
        <v>26</v>
      </c>
      <c r="G7" s="12" t="s">
        <v>11</v>
      </c>
      <c r="H7" s="13"/>
      <c r="I7" s="14" t="e">
        <f>SUMIFS(#REF!,#REF!,A7)</f>
        <v>#REF!</v>
      </c>
      <c r="J7" s="15" t="s">
        <v>14</v>
      </c>
      <c r="K7" s="15" t="s">
        <v>11</v>
      </c>
    </row>
    <row r="8" spans="1:11" ht="25" x14ac:dyDescent="0.35">
      <c r="A8" s="12" t="s">
        <v>27</v>
      </c>
      <c r="B8" s="12">
        <v>3</v>
      </c>
      <c r="C8" s="13" t="s">
        <v>28</v>
      </c>
      <c r="D8" s="13" t="s">
        <v>29</v>
      </c>
      <c r="E8" s="13" t="s">
        <v>30</v>
      </c>
      <c r="F8" s="13" t="s">
        <v>31</v>
      </c>
      <c r="G8" s="12" t="s">
        <v>11</v>
      </c>
      <c r="H8" s="13"/>
      <c r="I8" s="14" t="e">
        <f>SUMIFS(#REF!,#REF!,A8)</f>
        <v>#REF!</v>
      </c>
      <c r="J8" s="15" t="s">
        <v>14</v>
      </c>
      <c r="K8" s="15" t="s">
        <v>11</v>
      </c>
    </row>
    <row r="9" spans="1:11" ht="25" x14ac:dyDescent="0.35">
      <c r="A9" s="12" t="s">
        <v>32</v>
      </c>
      <c r="B9" s="12">
        <v>3</v>
      </c>
      <c r="C9" s="13" t="s">
        <v>33</v>
      </c>
      <c r="D9" s="13" t="s">
        <v>34</v>
      </c>
      <c r="E9" s="13" t="s">
        <v>30</v>
      </c>
      <c r="F9" s="13" t="s">
        <v>31</v>
      </c>
      <c r="G9" s="12" t="s">
        <v>11</v>
      </c>
      <c r="H9" s="13"/>
      <c r="I9" s="14" t="e">
        <f>SUMIFS(#REF!,#REF!,A9)</f>
        <v>#REF!</v>
      </c>
      <c r="J9" s="15" t="s">
        <v>14</v>
      </c>
      <c r="K9" s="15" t="s">
        <v>11</v>
      </c>
    </row>
    <row r="10" spans="1:11" ht="25" x14ac:dyDescent="0.35">
      <c r="A10" s="12" t="s">
        <v>35</v>
      </c>
      <c r="B10" s="12">
        <v>3</v>
      </c>
      <c r="C10" s="13" t="s">
        <v>36</v>
      </c>
      <c r="D10" s="13" t="s">
        <v>37</v>
      </c>
      <c r="E10" s="13" t="s">
        <v>38</v>
      </c>
      <c r="F10" s="13" t="s">
        <v>39</v>
      </c>
      <c r="G10" s="12" t="s">
        <v>11</v>
      </c>
      <c r="H10" s="13" t="s">
        <v>40</v>
      </c>
      <c r="I10" s="14" t="e">
        <f>SUMIFS(#REF!,#REF!,A10)</f>
        <v>#REF!</v>
      </c>
      <c r="J10" s="15" t="s">
        <v>14</v>
      </c>
      <c r="K10" s="15" t="s">
        <v>11</v>
      </c>
    </row>
    <row r="11" spans="1:11" ht="25" x14ac:dyDescent="0.35">
      <c r="A11" s="12" t="s">
        <v>41</v>
      </c>
      <c r="B11" s="12">
        <v>3</v>
      </c>
      <c r="C11" s="13" t="s">
        <v>42</v>
      </c>
      <c r="D11" s="13" t="s">
        <v>43</v>
      </c>
      <c r="E11" s="13" t="s">
        <v>38</v>
      </c>
      <c r="F11" s="13" t="s">
        <v>39</v>
      </c>
      <c r="G11" s="12" t="s">
        <v>44</v>
      </c>
      <c r="H11" s="13" t="s">
        <v>45</v>
      </c>
      <c r="I11" s="14" t="e">
        <f>SUMIFS(#REF!,#REF!,A11)</f>
        <v>#REF!</v>
      </c>
      <c r="J11" s="15" t="s">
        <v>14</v>
      </c>
      <c r="K11" s="15" t="s">
        <v>11</v>
      </c>
    </row>
    <row r="12" spans="1:11" ht="26" x14ac:dyDescent="0.35">
      <c r="A12" s="8" t="s">
        <v>46</v>
      </c>
      <c r="B12" s="8">
        <v>2</v>
      </c>
      <c r="C12" s="9" t="s">
        <v>47</v>
      </c>
      <c r="D12" s="9" t="s">
        <v>48</v>
      </c>
      <c r="E12" s="9"/>
      <c r="F12" s="9"/>
      <c r="G12" s="8"/>
      <c r="H12" s="9"/>
      <c r="I12" s="10" t="e">
        <f>SUMIFS($I$4:$I$251,$J$4:$J$251,A12)</f>
        <v>#REF!</v>
      </c>
      <c r="J12" s="11" t="s">
        <v>11</v>
      </c>
      <c r="K12" s="11" t="s">
        <v>11</v>
      </c>
    </row>
    <row r="13" spans="1:11" ht="25" x14ac:dyDescent="0.35">
      <c r="A13" s="12" t="s">
        <v>49</v>
      </c>
      <c r="B13" s="12">
        <v>3</v>
      </c>
      <c r="C13" s="13" t="s">
        <v>50</v>
      </c>
      <c r="D13" s="13" t="s">
        <v>51</v>
      </c>
      <c r="E13" s="13" t="s">
        <v>52</v>
      </c>
      <c r="F13" s="13" t="s">
        <v>53</v>
      </c>
      <c r="G13" s="12" t="s">
        <v>11</v>
      </c>
      <c r="H13" s="13" t="s">
        <v>14</v>
      </c>
      <c r="I13" s="14" t="e">
        <f>SUMIFS(#REF!,#REF!,A13)</f>
        <v>#REF!</v>
      </c>
      <c r="J13" s="15" t="s">
        <v>46</v>
      </c>
      <c r="K13" s="15" t="s">
        <v>11</v>
      </c>
    </row>
    <row r="14" spans="1:11" ht="25" x14ac:dyDescent="0.35">
      <c r="A14" s="12" t="s">
        <v>54</v>
      </c>
      <c r="B14" s="12">
        <v>3</v>
      </c>
      <c r="C14" s="13" t="s">
        <v>55</v>
      </c>
      <c r="D14" s="13" t="s">
        <v>56</v>
      </c>
      <c r="E14" s="13" t="s">
        <v>57</v>
      </c>
      <c r="F14" s="13" t="s">
        <v>58</v>
      </c>
      <c r="G14" s="12" t="s">
        <v>11</v>
      </c>
      <c r="H14" s="13" t="s">
        <v>14</v>
      </c>
      <c r="I14" s="14" t="e">
        <f>SUMIFS(#REF!,#REF!,A14)</f>
        <v>#REF!</v>
      </c>
      <c r="J14" s="15" t="s">
        <v>46</v>
      </c>
      <c r="K14" s="15" t="s">
        <v>11</v>
      </c>
    </row>
    <row r="15" spans="1:11" x14ac:dyDescent="0.35">
      <c r="A15" s="12" t="s">
        <v>59</v>
      </c>
      <c r="B15" s="12">
        <v>3</v>
      </c>
      <c r="C15" s="13" t="s">
        <v>60</v>
      </c>
      <c r="D15" s="13" t="s">
        <v>61</v>
      </c>
      <c r="E15" s="13" t="s">
        <v>62</v>
      </c>
      <c r="F15" s="13" t="s">
        <v>63</v>
      </c>
      <c r="G15" s="12" t="s">
        <v>11</v>
      </c>
      <c r="H15" s="13" t="s">
        <v>46</v>
      </c>
      <c r="I15" s="14" t="e">
        <f>SUMIFS(#REF!,#REF!,A15)</f>
        <v>#REF!</v>
      </c>
      <c r="J15" s="15" t="s">
        <v>46</v>
      </c>
      <c r="K15" s="15" t="s">
        <v>11</v>
      </c>
    </row>
    <row r="16" spans="1:11" x14ac:dyDescent="0.35">
      <c r="A16" s="12" t="s">
        <v>64</v>
      </c>
      <c r="B16" s="12">
        <v>3</v>
      </c>
      <c r="C16" s="13" t="s">
        <v>65</v>
      </c>
      <c r="D16" s="13" t="s">
        <v>66</v>
      </c>
      <c r="E16" s="13" t="s">
        <v>62</v>
      </c>
      <c r="F16" s="13" t="s">
        <v>63</v>
      </c>
      <c r="G16" s="12" t="s">
        <v>11</v>
      </c>
      <c r="H16" s="13" t="s">
        <v>40</v>
      </c>
      <c r="I16" s="14" t="e">
        <f>SUMIFS(#REF!,#REF!,A16)</f>
        <v>#REF!</v>
      </c>
      <c r="J16" s="15" t="s">
        <v>46</v>
      </c>
      <c r="K16" s="15" t="s">
        <v>11</v>
      </c>
    </row>
    <row r="17" spans="1:11" ht="25" x14ac:dyDescent="0.35">
      <c r="A17" s="12" t="s">
        <v>67</v>
      </c>
      <c r="B17" s="12">
        <v>3</v>
      </c>
      <c r="C17" s="13" t="s">
        <v>68</v>
      </c>
      <c r="D17" s="13" t="s">
        <v>69</v>
      </c>
      <c r="E17" s="13" t="s">
        <v>57</v>
      </c>
      <c r="F17" s="13" t="s">
        <v>58</v>
      </c>
      <c r="G17" s="12" t="s">
        <v>11</v>
      </c>
      <c r="H17" s="13" t="s">
        <v>70</v>
      </c>
      <c r="I17" s="14" t="e">
        <f>SUMIFS(#REF!,#REF!,A17)</f>
        <v>#REF!</v>
      </c>
      <c r="J17" s="15" t="s">
        <v>46</v>
      </c>
      <c r="K17" s="15" t="s">
        <v>11</v>
      </c>
    </row>
    <row r="18" spans="1:11" ht="25" x14ac:dyDescent="0.35">
      <c r="A18" s="12" t="s">
        <v>71</v>
      </c>
      <c r="B18" s="12">
        <v>3</v>
      </c>
      <c r="C18" s="13" t="s">
        <v>72</v>
      </c>
      <c r="D18" s="13" t="s">
        <v>73</v>
      </c>
      <c r="E18" s="13" t="s">
        <v>74</v>
      </c>
      <c r="F18" s="13" t="s">
        <v>75</v>
      </c>
      <c r="G18" s="12" t="s">
        <v>11</v>
      </c>
      <c r="H18" s="13" t="s">
        <v>40</v>
      </c>
      <c r="I18" s="14" t="e">
        <f>SUMIFS(#REF!,#REF!,A18)</f>
        <v>#REF!</v>
      </c>
      <c r="J18" s="15" t="s">
        <v>46</v>
      </c>
      <c r="K18" s="15" t="s">
        <v>11</v>
      </c>
    </row>
    <row r="19" spans="1:11" ht="26" x14ac:dyDescent="0.35">
      <c r="A19" s="8" t="s">
        <v>76</v>
      </c>
      <c r="B19" s="8">
        <v>2</v>
      </c>
      <c r="C19" s="9" t="s">
        <v>77</v>
      </c>
      <c r="D19" s="9" t="s">
        <v>78</v>
      </c>
      <c r="E19" s="9"/>
      <c r="F19" s="9"/>
      <c r="G19" s="8"/>
      <c r="H19" s="9"/>
      <c r="I19" s="10" t="e">
        <f>SUMIFS($I$4:$I$251,$J$4:$J$251,A19)</f>
        <v>#REF!</v>
      </c>
      <c r="J19" s="11" t="s">
        <v>11</v>
      </c>
      <c r="K19" s="11" t="s">
        <v>11</v>
      </c>
    </row>
    <row r="20" spans="1:11" ht="37.5" x14ac:dyDescent="0.35">
      <c r="A20" s="12" t="s">
        <v>79</v>
      </c>
      <c r="B20" s="12">
        <v>3</v>
      </c>
      <c r="C20" s="13" t="s">
        <v>80</v>
      </c>
      <c r="D20" s="13" t="s">
        <v>81</v>
      </c>
      <c r="E20" s="13" t="s">
        <v>30</v>
      </c>
      <c r="F20" s="13" t="s">
        <v>31</v>
      </c>
      <c r="G20" s="12" t="s">
        <v>11</v>
      </c>
      <c r="H20" s="13" t="s">
        <v>40</v>
      </c>
      <c r="I20" s="14" t="e">
        <f>SUMIFS(#REF!,#REF!,A20)</f>
        <v>#REF!</v>
      </c>
      <c r="J20" s="15" t="s">
        <v>76</v>
      </c>
      <c r="K20" s="15" t="s">
        <v>11</v>
      </c>
    </row>
    <row r="21" spans="1:11" ht="39" x14ac:dyDescent="0.35">
      <c r="A21" s="8" t="s">
        <v>40</v>
      </c>
      <c r="B21" s="8">
        <v>2</v>
      </c>
      <c r="C21" s="9" t="s">
        <v>82</v>
      </c>
      <c r="D21" s="9" t="s">
        <v>83</v>
      </c>
      <c r="E21" s="9"/>
      <c r="F21" s="9"/>
      <c r="G21" s="8"/>
      <c r="H21" s="9"/>
      <c r="I21" s="10" t="e">
        <f>SUMIFS($I$4:$I$251,$J$4:$J$251,A21)</f>
        <v>#REF!</v>
      </c>
      <c r="J21" s="11" t="s">
        <v>11</v>
      </c>
      <c r="K21" s="11" t="s">
        <v>11</v>
      </c>
    </row>
    <row r="22" spans="1:11" ht="25" x14ac:dyDescent="0.35">
      <c r="A22" s="12" t="s">
        <v>84</v>
      </c>
      <c r="B22" s="12">
        <v>3</v>
      </c>
      <c r="C22" s="13" t="s">
        <v>85</v>
      </c>
      <c r="D22" s="13" t="s">
        <v>86</v>
      </c>
      <c r="E22" s="13" t="s">
        <v>87</v>
      </c>
      <c r="F22" s="13" t="s">
        <v>88</v>
      </c>
      <c r="G22" s="12" t="s">
        <v>11</v>
      </c>
      <c r="H22" s="13" t="s">
        <v>14</v>
      </c>
      <c r="I22" s="14" t="e">
        <f>SUMIFS(#REF!,#REF!,A22)</f>
        <v>#REF!</v>
      </c>
      <c r="J22" s="15" t="s">
        <v>40</v>
      </c>
      <c r="K22" s="15" t="s">
        <v>11</v>
      </c>
    </row>
    <row r="23" spans="1:11" ht="25" x14ac:dyDescent="0.35">
      <c r="A23" s="12" t="s">
        <v>89</v>
      </c>
      <c r="B23" s="12">
        <v>3</v>
      </c>
      <c r="C23" s="13" t="s">
        <v>90</v>
      </c>
      <c r="D23" s="13" t="s">
        <v>91</v>
      </c>
      <c r="E23" s="13" t="s">
        <v>92</v>
      </c>
      <c r="F23" s="13" t="s">
        <v>93</v>
      </c>
      <c r="G23" s="12" t="s">
        <v>94</v>
      </c>
      <c r="H23" s="13" t="s">
        <v>95</v>
      </c>
      <c r="I23" s="14" t="e">
        <f>SUMIFS(#REF!,#REF!,A23)</f>
        <v>#REF!</v>
      </c>
      <c r="J23" s="15" t="s">
        <v>40</v>
      </c>
      <c r="K23" s="15" t="s">
        <v>11</v>
      </c>
    </row>
    <row r="24" spans="1:11" x14ac:dyDescent="0.35">
      <c r="A24" s="12" t="s">
        <v>96</v>
      </c>
      <c r="B24" s="12">
        <v>3</v>
      </c>
      <c r="C24" s="13" t="s">
        <v>97</v>
      </c>
      <c r="D24" s="13" t="s">
        <v>98</v>
      </c>
      <c r="E24" s="13" t="s">
        <v>99</v>
      </c>
      <c r="F24" s="13" t="s">
        <v>100</v>
      </c>
      <c r="G24" s="12" t="s">
        <v>94</v>
      </c>
      <c r="H24" s="13" t="s">
        <v>101</v>
      </c>
      <c r="I24" s="14" t="e">
        <f>SUMIFS(#REF!,#REF!,A24)</f>
        <v>#REF!</v>
      </c>
      <c r="J24" s="15" t="s">
        <v>40</v>
      </c>
      <c r="K24" s="15" t="s">
        <v>11</v>
      </c>
    </row>
    <row r="25" spans="1:11" ht="25" x14ac:dyDescent="0.35">
      <c r="A25" s="12" t="s">
        <v>102</v>
      </c>
      <c r="B25" s="12">
        <v>3</v>
      </c>
      <c r="C25" s="13" t="s">
        <v>103</v>
      </c>
      <c r="D25" s="13" t="s">
        <v>104</v>
      </c>
      <c r="E25" s="13" t="s">
        <v>105</v>
      </c>
      <c r="F25" s="13" t="s">
        <v>106</v>
      </c>
      <c r="G25" s="12" t="s">
        <v>94</v>
      </c>
      <c r="H25" s="13" t="s">
        <v>95</v>
      </c>
      <c r="I25" s="14" t="e">
        <f>SUMIFS(#REF!,#REF!,A25)</f>
        <v>#REF!</v>
      </c>
      <c r="J25" s="15" t="s">
        <v>40</v>
      </c>
      <c r="K25" s="15" t="s">
        <v>11</v>
      </c>
    </row>
    <row r="26" spans="1:11" ht="26" x14ac:dyDescent="0.35">
      <c r="A26" s="8" t="s">
        <v>107</v>
      </c>
      <c r="B26" s="8">
        <v>2</v>
      </c>
      <c r="C26" s="9" t="s">
        <v>108</v>
      </c>
      <c r="D26" s="9" t="s">
        <v>109</v>
      </c>
      <c r="E26" s="9"/>
      <c r="F26" s="9"/>
      <c r="G26" s="8"/>
      <c r="H26" s="9"/>
      <c r="I26" s="10" t="e">
        <f>SUMIFS($I$4:$I$251,$J$4:$J$251,A26)</f>
        <v>#REF!</v>
      </c>
      <c r="J26" s="11" t="s">
        <v>11</v>
      </c>
      <c r="K26" s="11" t="s">
        <v>11</v>
      </c>
    </row>
    <row r="27" spans="1:11" ht="25" x14ac:dyDescent="0.35">
      <c r="A27" s="12" t="s">
        <v>110</v>
      </c>
      <c r="B27" s="12">
        <v>3</v>
      </c>
      <c r="C27" s="13" t="s">
        <v>111</v>
      </c>
      <c r="D27" s="13" t="s">
        <v>112</v>
      </c>
      <c r="E27" s="13" t="s">
        <v>113</v>
      </c>
      <c r="F27" s="13" t="s">
        <v>114</v>
      </c>
      <c r="G27" s="12" t="s">
        <v>94</v>
      </c>
      <c r="H27" s="13" t="s">
        <v>101</v>
      </c>
      <c r="I27" s="14" t="e">
        <f>SUMIFS(#REF!,#REF!,A27)</f>
        <v>#REF!</v>
      </c>
      <c r="J27" s="15" t="s">
        <v>107</v>
      </c>
      <c r="K27" s="15" t="s">
        <v>11</v>
      </c>
    </row>
    <row r="28" spans="1:11" ht="25" x14ac:dyDescent="0.35">
      <c r="A28" s="12" t="s">
        <v>115</v>
      </c>
      <c r="B28" s="12">
        <v>3</v>
      </c>
      <c r="C28" s="13" t="s">
        <v>116</v>
      </c>
      <c r="D28" s="13" t="s">
        <v>117</v>
      </c>
      <c r="E28" s="13" t="s">
        <v>118</v>
      </c>
      <c r="F28" s="13" t="s">
        <v>119</v>
      </c>
      <c r="G28" s="12" t="s">
        <v>94</v>
      </c>
      <c r="H28" s="13" t="s">
        <v>101</v>
      </c>
      <c r="I28" s="14" t="e">
        <f>SUMIFS(#REF!,#REF!,A28)</f>
        <v>#REF!</v>
      </c>
      <c r="J28" s="15" t="s">
        <v>107</v>
      </c>
      <c r="K28" s="15" t="s">
        <v>11</v>
      </c>
    </row>
    <row r="29" spans="1:11" ht="25" x14ac:dyDescent="0.35">
      <c r="A29" s="12" t="s">
        <v>120</v>
      </c>
      <c r="B29" s="12">
        <v>3</v>
      </c>
      <c r="C29" s="13" t="s">
        <v>121</v>
      </c>
      <c r="D29" s="13" t="s">
        <v>122</v>
      </c>
      <c r="E29" s="13" t="s">
        <v>123</v>
      </c>
      <c r="F29" s="13" t="s">
        <v>124</v>
      </c>
      <c r="G29" s="12" t="s">
        <v>11</v>
      </c>
      <c r="H29" s="13" t="s">
        <v>76</v>
      </c>
      <c r="I29" s="14" t="e">
        <f>SUMIFS(#REF!,#REF!,A29)</f>
        <v>#REF!</v>
      </c>
      <c r="J29" s="15" t="s">
        <v>107</v>
      </c>
      <c r="K29" s="15" t="s">
        <v>11</v>
      </c>
    </row>
    <row r="30" spans="1:11" ht="25" x14ac:dyDescent="0.35">
      <c r="A30" s="12" t="s">
        <v>125</v>
      </c>
      <c r="B30" s="12">
        <v>3</v>
      </c>
      <c r="C30" s="13" t="s">
        <v>126</v>
      </c>
      <c r="D30" s="13" t="s">
        <v>127</v>
      </c>
      <c r="E30" s="13" t="s">
        <v>128</v>
      </c>
      <c r="F30" s="13" t="s">
        <v>129</v>
      </c>
      <c r="G30" s="12" t="s">
        <v>94</v>
      </c>
      <c r="H30" s="13" t="s">
        <v>130</v>
      </c>
      <c r="I30" s="14" t="e">
        <f>SUMIFS(#REF!,#REF!,A30)</f>
        <v>#REF!</v>
      </c>
      <c r="J30" s="15" t="s">
        <v>107</v>
      </c>
      <c r="K30" s="15" t="s">
        <v>11</v>
      </c>
    </row>
    <row r="31" spans="1:11" ht="26" x14ac:dyDescent="0.35">
      <c r="A31" s="8" t="s">
        <v>131</v>
      </c>
      <c r="B31" s="8">
        <v>2</v>
      </c>
      <c r="C31" s="9" t="s">
        <v>132</v>
      </c>
      <c r="D31" s="9" t="s">
        <v>133</v>
      </c>
      <c r="E31" s="9"/>
      <c r="F31" s="9"/>
      <c r="G31" s="8"/>
      <c r="H31" s="9"/>
      <c r="I31" s="10" t="e">
        <f>SUMIFS($I$4:$I$251,$J$4:$J$251,A31)</f>
        <v>#REF!</v>
      </c>
      <c r="J31" s="11" t="s">
        <v>11</v>
      </c>
      <c r="K31" s="11" t="s">
        <v>11</v>
      </c>
    </row>
    <row r="32" spans="1:11" ht="25" x14ac:dyDescent="0.35">
      <c r="A32" s="12" t="s">
        <v>134</v>
      </c>
      <c r="B32" s="12">
        <v>3</v>
      </c>
      <c r="C32" s="13" t="s">
        <v>135</v>
      </c>
      <c r="D32" s="13" t="s">
        <v>136</v>
      </c>
      <c r="E32" s="13" t="s">
        <v>137</v>
      </c>
      <c r="F32" s="13" t="s">
        <v>138</v>
      </c>
      <c r="G32" s="12" t="s">
        <v>139</v>
      </c>
      <c r="H32" s="13" t="s">
        <v>140</v>
      </c>
      <c r="I32" s="14" t="e">
        <f>SUMIFS(#REF!,#REF!,A32)</f>
        <v>#REF!</v>
      </c>
      <c r="J32" s="15" t="s">
        <v>131</v>
      </c>
      <c r="K32" s="15" t="s">
        <v>11</v>
      </c>
    </row>
    <row r="33" spans="1:11" ht="25" x14ac:dyDescent="0.35">
      <c r="A33" s="12" t="s">
        <v>141</v>
      </c>
      <c r="B33" s="12">
        <v>3</v>
      </c>
      <c r="C33" s="13" t="s">
        <v>142</v>
      </c>
      <c r="D33" s="13" t="s">
        <v>143</v>
      </c>
      <c r="E33" s="13" t="s">
        <v>144</v>
      </c>
      <c r="F33" s="13" t="s">
        <v>145</v>
      </c>
      <c r="G33" s="12" t="s">
        <v>139</v>
      </c>
      <c r="H33" s="13" t="s">
        <v>146</v>
      </c>
      <c r="I33" s="14" t="e">
        <f>SUMIFS(#REF!,#REF!,A33)</f>
        <v>#REF!</v>
      </c>
      <c r="J33" s="15" t="s">
        <v>131</v>
      </c>
      <c r="K33" s="15" t="s">
        <v>11</v>
      </c>
    </row>
    <row r="34" spans="1:11" ht="26" x14ac:dyDescent="0.35">
      <c r="A34" s="8" t="s">
        <v>147</v>
      </c>
      <c r="B34" s="8">
        <v>2</v>
      </c>
      <c r="C34" s="9" t="s">
        <v>148</v>
      </c>
      <c r="D34" s="9" t="s">
        <v>149</v>
      </c>
      <c r="E34" s="9"/>
      <c r="F34" s="9"/>
      <c r="G34" s="8"/>
      <c r="H34" s="9"/>
      <c r="I34" s="10" t="e">
        <f>SUMIFS($I$4:$I$251,$J$4:$J$251,A34)</f>
        <v>#REF!</v>
      </c>
      <c r="J34" s="11" t="s">
        <v>11</v>
      </c>
      <c r="K34" s="11" t="s">
        <v>11</v>
      </c>
    </row>
    <row r="35" spans="1:11" ht="25" x14ac:dyDescent="0.35">
      <c r="A35" s="12" t="s">
        <v>150</v>
      </c>
      <c r="B35" s="12">
        <v>3</v>
      </c>
      <c r="C35" s="13" t="s">
        <v>151</v>
      </c>
      <c r="D35" s="13" t="s">
        <v>152</v>
      </c>
      <c r="E35" s="13" t="s">
        <v>153</v>
      </c>
      <c r="F35" s="13" t="s">
        <v>154</v>
      </c>
      <c r="G35" s="12" t="s">
        <v>11</v>
      </c>
      <c r="H35" s="13" t="s">
        <v>155</v>
      </c>
      <c r="I35" s="14" t="e">
        <f>SUMIFS(#REF!,#REF!,A35)</f>
        <v>#REF!</v>
      </c>
      <c r="J35" s="15" t="s">
        <v>147</v>
      </c>
      <c r="K35" s="15" t="s">
        <v>11</v>
      </c>
    </row>
    <row r="36" spans="1:11" x14ac:dyDescent="0.35">
      <c r="A36" s="12" t="s">
        <v>156</v>
      </c>
      <c r="B36" s="12">
        <v>3</v>
      </c>
      <c r="C36" s="13" t="s">
        <v>157</v>
      </c>
      <c r="D36" s="13" t="s">
        <v>158</v>
      </c>
      <c r="E36" s="13" t="s">
        <v>159</v>
      </c>
      <c r="F36" s="13" t="s">
        <v>160</v>
      </c>
      <c r="G36" s="12" t="s">
        <v>94</v>
      </c>
      <c r="H36" s="13" t="s">
        <v>155</v>
      </c>
      <c r="I36" s="14" t="e">
        <f>SUMIFS(#REF!,#REF!,A36)</f>
        <v>#REF!</v>
      </c>
      <c r="J36" s="15" t="s">
        <v>147</v>
      </c>
      <c r="K36" s="15" t="s">
        <v>11</v>
      </c>
    </row>
    <row r="37" spans="1:11" x14ac:dyDescent="0.35">
      <c r="A37" s="12" t="s">
        <v>161</v>
      </c>
      <c r="B37" s="12">
        <v>3</v>
      </c>
      <c r="C37" s="13" t="s">
        <v>162</v>
      </c>
      <c r="D37" s="13" t="s">
        <v>163</v>
      </c>
      <c r="E37" s="13" t="s">
        <v>159</v>
      </c>
      <c r="F37" s="13" t="s">
        <v>160</v>
      </c>
      <c r="G37" s="12" t="s">
        <v>94</v>
      </c>
      <c r="H37" s="13" t="s">
        <v>155</v>
      </c>
      <c r="I37" s="14" t="e">
        <f>SUMIFS(#REF!,#REF!,A37)</f>
        <v>#REF!</v>
      </c>
      <c r="J37" s="15" t="s">
        <v>147</v>
      </c>
      <c r="K37" s="15" t="s">
        <v>11</v>
      </c>
    </row>
    <row r="38" spans="1:11" x14ac:dyDescent="0.35">
      <c r="A38" s="8" t="s">
        <v>164</v>
      </c>
      <c r="B38" s="8">
        <v>2</v>
      </c>
      <c r="C38" s="9" t="s">
        <v>165</v>
      </c>
      <c r="D38" s="9" t="s">
        <v>166</v>
      </c>
      <c r="E38" s="9"/>
      <c r="F38" s="9"/>
      <c r="G38" s="8"/>
      <c r="H38" s="9"/>
      <c r="I38" s="10" t="e">
        <f>SUMIFS($I$4:$I$251,$J$4:$J$251,A38)</f>
        <v>#REF!</v>
      </c>
      <c r="J38" s="11" t="s">
        <v>11</v>
      </c>
      <c r="K38" s="11" t="s">
        <v>11</v>
      </c>
    </row>
    <row r="39" spans="1:11" ht="50" x14ac:dyDescent="0.35">
      <c r="A39" s="12" t="s">
        <v>167</v>
      </c>
      <c r="B39" s="12">
        <v>3</v>
      </c>
      <c r="C39" s="13" t="s">
        <v>168</v>
      </c>
      <c r="D39" s="13" t="s">
        <v>169</v>
      </c>
      <c r="E39" s="13" t="s">
        <v>170</v>
      </c>
      <c r="F39" s="13" t="s">
        <v>171</v>
      </c>
      <c r="G39" s="12" t="s">
        <v>94</v>
      </c>
      <c r="H39" s="13" t="s">
        <v>172</v>
      </c>
      <c r="I39" s="14" t="e">
        <f>SUMIFS(#REF!,#REF!,A39)</f>
        <v>#REF!</v>
      </c>
      <c r="J39" s="15" t="s">
        <v>164</v>
      </c>
      <c r="K39" s="15" t="s">
        <v>11</v>
      </c>
    </row>
    <row r="40" spans="1:11" ht="26" x14ac:dyDescent="0.35">
      <c r="A40" s="8" t="s">
        <v>173</v>
      </c>
      <c r="B40" s="8">
        <v>2</v>
      </c>
      <c r="C40" s="9" t="s">
        <v>174</v>
      </c>
      <c r="D40" s="9" t="s">
        <v>175</v>
      </c>
      <c r="E40" s="9"/>
      <c r="F40" s="9"/>
      <c r="G40" s="8"/>
      <c r="H40" s="9"/>
      <c r="I40" s="10" t="e">
        <f>SUMIFS($I$4:$I$251,$J$4:$J$251,A40)</f>
        <v>#REF!</v>
      </c>
      <c r="J40" s="11" t="s">
        <v>11</v>
      </c>
      <c r="K40" s="11" t="s">
        <v>11</v>
      </c>
    </row>
    <row r="41" spans="1:11" x14ac:dyDescent="0.35">
      <c r="A41" s="12" t="s">
        <v>176</v>
      </c>
      <c r="B41" s="12">
        <v>3</v>
      </c>
      <c r="C41" s="13" t="s">
        <v>177</v>
      </c>
      <c r="D41" s="13" t="s">
        <v>178</v>
      </c>
      <c r="E41" s="13" t="s">
        <v>179</v>
      </c>
      <c r="F41" s="13" t="s">
        <v>180</v>
      </c>
      <c r="G41" s="12" t="s">
        <v>94</v>
      </c>
      <c r="H41" s="13"/>
      <c r="I41" s="14" t="e">
        <f>SUMIFS(#REF!,#REF!,A41)</f>
        <v>#REF!</v>
      </c>
      <c r="J41" s="15" t="s">
        <v>173</v>
      </c>
      <c r="K41" s="15" t="s">
        <v>11</v>
      </c>
    </row>
    <row r="42" spans="1:11" ht="25" x14ac:dyDescent="0.35">
      <c r="A42" s="12" t="s">
        <v>181</v>
      </c>
      <c r="B42" s="12">
        <v>3</v>
      </c>
      <c r="C42" s="13" t="s">
        <v>182</v>
      </c>
      <c r="D42" s="13" t="s">
        <v>183</v>
      </c>
      <c r="E42" s="13" t="s">
        <v>99</v>
      </c>
      <c r="F42" s="13" t="s">
        <v>100</v>
      </c>
      <c r="G42" s="12" t="s">
        <v>94</v>
      </c>
      <c r="H42" s="13"/>
      <c r="I42" s="14" t="e">
        <f>SUMIFS(#REF!,#REF!,A42)</f>
        <v>#REF!</v>
      </c>
      <c r="J42" s="15" t="s">
        <v>173</v>
      </c>
      <c r="K42" s="15" t="s">
        <v>11</v>
      </c>
    </row>
    <row r="43" spans="1:11" ht="25" x14ac:dyDescent="0.35">
      <c r="A43" s="12" t="s">
        <v>184</v>
      </c>
      <c r="B43" s="12">
        <v>3</v>
      </c>
      <c r="C43" s="13" t="s">
        <v>185</v>
      </c>
      <c r="D43" s="13" t="s">
        <v>186</v>
      </c>
      <c r="E43" s="13" t="s">
        <v>187</v>
      </c>
      <c r="F43" s="13" t="s">
        <v>188</v>
      </c>
      <c r="G43" s="12" t="s">
        <v>94</v>
      </c>
      <c r="H43" s="13"/>
      <c r="I43" s="14" t="e">
        <f>SUMIFS(#REF!,#REF!,A43)</f>
        <v>#REF!</v>
      </c>
      <c r="J43" s="15" t="s">
        <v>173</v>
      </c>
      <c r="K43" s="15" t="s">
        <v>11</v>
      </c>
    </row>
    <row r="44" spans="1:11" ht="25" x14ac:dyDescent="0.35">
      <c r="A44" s="12" t="s">
        <v>189</v>
      </c>
      <c r="B44" s="12">
        <v>3</v>
      </c>
      <c r="C44" s="13" t="s">
        <v>190</v>
      </c>
      <c r="D44" s="13" t="s">
        <v>191</v>
      </c>
      <c r="E44" s="13" t="s">
        <v>192</v>
      </c>
      <c r="F44" s="13" t="s">
        <v>193</v>
      </c>
      <c r="G44" s="12" t="s">
        <v>94</v>
      </c>
      <c r="H44" s="13"/>
      <c r="I44" s="14" t="e">
        <f>SUMIFS(#REF!,#REF!,A44)</f>
        <v>#REF!</v>
      </c>
      <c r="J44" s="15" t="s">
        <v>173</v>
      </c>
      <c r="K44" s="15" t="s">
        <v>11</v>
      </c>
    </row>
    <row r="45" spans="1:11" ht="25" x14ac:dyDescent="0.35">
      <c r="A45" s="12" t="s">
        <v>194</v>
      </c>
      <c r="B45" s="12">
        <v>3</v>
      </c>
      <c r="C45" s="13" t="s">
        <v>195</v>
      </c>
      <c r="D45" s="13" t="s">
        <v>196</v>
      </c>
      <c r="E45" s="13" t="s">
        <v>197</v>
      </c>
      <c r="F45" s="13" t="s">
        <v>198</v>
      </c>
      <c r="G45" s="12" t="s">
        <v>94</v>
      </c>
      <c r="H45" s="13"/>
      <c r="I45" s="14" t="e">
        <f>SUMIFS(#REF!,#REF!,A45)</f>
        <v>#REF!</v>
      </c>
      <c r="J45" s="15" t="s">
        <v>173</v>
      </c>
      <c r="K45" s="15" t="s">
        <v>11</v>
      </c>
    </row>
    <row r="46" spans="1:11" ht="25" x14ac:dyDescent="0.35">
      <c r="A46" s="12" t="s">
        <v>199</v>
      </c>
      <c r="B46" s="12">
        <v>3</v>
      </c>
      <c r="C46" s="13" t="s">
        <v>200</v>
      </c>
      <c r="D46" s="13" t="s">
        <v>201</v>
      </c>
      <c r="E46" s="13" t="s">
        <v>38</v>
      </c>
      <c r="F46" s="13" t="s">
        <v>39</v>
      </c>
      <c r="G46" s="12" t="s">
        <v>44</v>
      </c>
      <c r="H46" s="13"/>
      <c r="I46" s="14" t="e">
        <f>SUMIFS(#REF!,#REF!,A46)</f>
        <v>#REF!</v>
      </c>
      <c r="J46" s="15" t="s">
        <v>173</v>
      </c>
      <c r="K46" s="15" t="s">
        <v>11</v>
      </c>
    </row>
    <row r="47" spans="1:11" x14ac:dyDescent="0.35">
      <c r="A47" s="12" t="s">
        <v>202</v>
      </c>
      <c r="B47" s="12">
        <v>3</v>
      </c>
      <c r="C47" s="13" t="s">
        <v>203</v>
      </c>
      <c r="D47" s="13" t="s">
        <v>204</v>
      </c>
      <c r="E47" s="13" t="s">
        <v>38</v>
      </c>
      <c r="F47" s="13" t="s">
        <v>39</v>
      </c>
      <c r="G47" s="12" t="s">
        <v>44</v>
      </c>
      <c r="H47" s="13"/>
      <c r="I47" s="14" t="e">
        <f>SUMIFS(#REF!,#REF!,A47)</f>
        <v>#REF!</v>
      </c>
      <c r="J47" s="15" t="s">
        <v>173</v>
      </c>
      <c r="K47" s="15" t="s">
        <v>11</v>
      </c>
    </row>
    <row r="48" spans="1:11" ht="25" x14ac:dyDescent="0.35">
      <c r="A48" s="12" t="s">
        <v>205</v>
      </c>
      <c r="B48" s="12">
        <v>3</v>
      </c>
      <c r="C48" s="13" t="s">
        <v>206</v>
      </c>
      <c r="D48" s="13" t="s">
        <v>207</v>
      </c>
      <c r="E48" s="13" t="s">
        <v>208</v>
      </c>
      <c r="F48" s="13" t="s">
        <v>209</v>
      </c>
      <c r="G48" s="12" t="s">
        <v>94</v>
      </c>
      <c r="H48" s="13" t="s">
        <v>210</v>
      </c>
      <c r="I48" s="14" t="e">
        <f>SUMIFS(#REF!,#REF!,A48)</f>
        <v>#REF!</v>
      </c>
      <c r="J48" s="15" t="s">
        <v>173</v>
      </c>
      <c r="K48" s="15" t="s">
        <v>11</v>
      </c>
    </row>
    <row r="49" spans="1:11" x14ac:dyDescent="0.35">
      <c r="A49" s="8" t="s">
        <v>211</v>
      </c>
      <c r="B49" s="8">
        <v>2</v>
      </c>
      <c r="C49" s="9" t="s">
        <v>212</v>
      </c>
      <c r="D49" s="9" t="s">
        <v>213</v>
      </c>
      <c r="E49" s="9"/>
      <c r="F49" s="9"/>
      <c r="G49" s="8"/>
      <c r="H49" s="9"/>
      <c r="I49" s="10" t="e">
        <f>SUMIFS($I$4:$I$251,$J$4:$J$251,A49)</f>
        <v>#REF!</v>
      </c>
      <c r="J49" s="11" t="s">
        <v>11</v>
      </c>
      <c r="K49" s="11" t="s">
        <v>11</v>
      </c>
    </row>
    <row r="50" spans="1:11" ht="25" x14ac:dyDescent="0.35">
      <c r="A50" s="12" t="s">
        <v>214</v>
      </c>
      <c r="B50" s="12">
        <v>3</v>
      </c>
      <c r="C50" s="13" t="s">
        <v>215</v>
      </c>
      <c r="D50" s="13" t="s">
        <v>213</v>
      </c>
      <c r="E50" s="13" t="s">
        <v>179</v>
      </c>
      <c r="F50" s="13" t="s">
        <v>180</v>
      </c>
      <c r="G50" s="12" t="s">
        <v>94</v>
      </c>
      <c r="H50" s="13"/>
      <c r="I50" s="14" t="e">
        <f>SUMIFS(#REF!,#REF!,A50)</f>
        <v>#REF!</v>
      </c>
      <c r="J50" s="15" t="s">
        <v>211</v>
      </c>
      <c r="K50" s="15" t="s">
        <v>11</v>
      </c>
    </row>
    <row r="51" spans="1:11" ht="52" x14ac:dyDescent="0.35">
      <c r="A51" s="4" t="s">
        <v>94</v>
      </c>
      <c r="B51" s="4">
        <v>1</v>
      </c>
      <c r="C51" s="5" t="s">
        <v>216</v>
      </c>
      <c r="D51" s="5" t="s">
        <v>217</v>
      </c>
      <c r="E51" s="5"/>
      <c r="F51" s="5"/>
      <c r="G51" s="4"/>
      <c r="H51" s="5"/>
      <c r="I51" s="6" t="e">
        <f>SUMIFS($I$4:$I$251,$K$4:$K$251,A51,$B$4:$B$251,3)</f>
        <v>#REF!</v>
      </c>
      <c r="J51" s="7"/>
      <c r="K51" s="7" t="s">
        <v>94</v>
      </c>
    </row>
    <row r="52" spans="1:11" ht="26" x14ac:dyDescent="0.35">
      <c r="A52" s="8" t="s">
        <v>101</v>
      </c>
      <c r="B52" s="8">
        <v>2</v>
      </c>
      <c r="C52" s="9" t="s">
        <v>218</v>
      </c>
      <c r="D52" s="9" t="s">
        <v>219</v>
      </c>
      <c r="E52" s="9"/>
      <c r="F52" s="9"/>
      <c r="G52" s="8"/>
      <c r="H52" s="9"/>
      <c r="I52" s="10" t="e">
        <f>SUMIFS($I$4:$I$251,$J$4:$J$251,A52)</f>
        <v>#REF!</v>
      </c>
      <c r="J52" s="11" t="s">
        <v>94</v>
      </c>
      <c r="K52" s="11" t="s">
        <v>94</v>
      </c>
    </row>
    <row r="53" spans="1:11" ht="87.5" x14ac:dyDescent="0.35">
      <c r="A53" s="12" t="s">
        <v>220</v>
      </c>
      <c r="B53" s="12">
        <v>3</v>
      </c>
      <c r="C53" s="13" t="s">
        <v>221</v>
      </c>
      <c r="D53" s="13" t="s">
        <v>222</v>
      </c>
      <c r="E53" s="13" t="s">
        <v>223</v>
      </c>
      <c r="F53" s="13" t="s">
        <v>224</v>
      </c>
      <c r="G53" s="12" t="s">
        <v>94</v>
      </c>
      <c r="H53" s="13" t="s">
        <v>225</v>
      </c>
      <c r="I53" s="14" t="e">
        <f>SUMIFS(#REF!,#REF!,A53)</f>
        <v>#REF!</v>
      </c>
      <c r="J53" s="15" t="s">
        <v>101</v>
      </c>
      <c r="K53" s="15" t="s">
        <v>94</v>
      </c>
    </row>
    <row r="54" spans="1:11" ht="37.5" x14ac:dyDescent="0.35">
      <c r="A54" s="12" t="s">
        <v>226</v>
      </c>
      <c r="B54" s="12">
        <v>3</v>
      </c>
      <c r="C54" s="13" t="s">
        <v>227</v>
      </c>
      <c r="D54" s="13" t="s">
        <v>228</v>
      </c>
      <c r="E54" s="13" t="s">
        <v>229</v>
      </c>
      <c r="F54" s="13" t="s">
        <v>230</v>
      </c>
      <c r="G54" s="12" t="s">
        <v>11</v>
      </c>
      <c r="H54" s="13" t="s">
        <v>225</v>
      </c>
      <c r="I54" s="14" t="e">
        <f>SUMIFS(#REF!,#REF!,A54)</f>
        <v>#REF!</v>
      </c>
      <c r="J54" s="15" t="s">
        <v>101</v>
      </c>
      <c r="K54" s="15" t="s">
        <v>94</v>
      </c>
    </row>
    <row r="55" spans="1:11" ht="78" x14ac:dyDescent="0.35">
      <c r="A55" s="8" t="s">
        <v>95</v>
      </c>
      <c r="B55" s="8">
        <v>2</v>
      </c>
      <c r="C55" s="9" t="s">
        <v>231</v>
      </c>
      <c r="D55" s="9" t="s">
        <v>232</v>
      </c>
      <c r="E55" s="9"/>
      <c r="F55" s="9"/>
      <c r="G55" s="8"/>
      <c r="H55" s="9"/>
      <c r="I55" s="10" t="e">
        <f>SUMIFS($I$4:$I$251,$J$4:$J$251,A55)</f>
        <v>#REF!</v>
      </c>
      <c r="J55" s="11" t="s">
        <v>94</v>
      </c>
      <c r="K55" s="11" t="s">
        <v>94</v>
      </c>
    </row>
    <row r="56" spans="1:11" ht="25" x14ac:dyDescent="0.35">
      <c r="A56" s="12" t="s">
        <v>233</v>
      </c>
      <c r="B56" s="12">
        <v>3</v>
      </c>
      <c r="C56" s="13" t="s">
        <v>234</v>
      </c>
      <c r="D56" s="13" t="s">
        <v>235</v>
      </c>
      <c r="E56" s="13" t="s">
        <v>192</v>
      </c>
      <c r="F56" s="13" t="s">
        <v>193</v>
      </c>
      <c r="G56" s="12" t="s">
        <v>94</v>
      </c>
      <c r="H56" s="13" t="s">
        <v>210</v>
      </c>
      <c r="I56" s="14" t="e">
        <f>SUMIFS(#REF!,#REF!,A56)</f>
        <v>#REF!</v>
      </c>
      <c r="J56" s="15" t="s">
        <v>95</v>
      </c>
      <c r="K56" s="15" t="s">
        <v>94</v>
      </c>
    </row>
    <row r="57" spans="1:11" ht="25" x14ac:dyDescent="0.35">
      <c r="A57" s="12" t="s">
        <v>236</v>
      </c>
      <c r="B57" s="12">
        <v>3</v>
      </c>
      <c r="C57" s="13" t="s">
        <v>237</v>
      </c>
      <c r="D57" s="13" t="s">
        <v>238</v>
      </c>
      <c r="E57" s="13" t="s">
        <v>239</v>
      </c>
      <c r="F57" s="13" t="s">
        <v>240</v>
      </c>
      <c r="G57" s="12" t="s">
        <v>94</v>
      </c>
      <c r="H57" s="13" t="s">
        <v>241</v>
      </c>
      <c r="I57" s="14" t="e">
        <f>SUMIFS(#REF!,#REF!,A57)</f>
        <v>#REF!</v>
      </c>
      <c r="J57" s="15" t="s">
        <v>95</v>
      </c>
      <c r="K57" s="15" t="s">
        <v>94</v>
      </c>
    </row>
    <row r="58" spans="1:11" ht="25" x14ac:dyDescent="0.35">
      <c r="A58" s="12" t="s">
        <v>242</v>
      </c>
      <c r="B58" s="12">
        <v>3</v>
      </c>
      <c r="C58" s="13" t="s">
        <v>243</v>
      </c>
      <c r="D58" s="13" t="s">
        <v>244</v>
      </c>
      <c r="E58" s="13" t="s">
        <v>239</v>
      </c>
      <c r="F58" s="13" t="s">
        <v>240</v>
      </c>
      <c r="G58" s="12" t="s">
        <v>94</v>
      </c>
      <c r="H58" s="13" t="s">
        <v>245</v>
      </c>
      <c r="I58" s="14" t="e">
        <f>SUMIFS(#REF!,#REF!,A58)</f>
        <v>#REF!</v>
      </c>
      <c r="J58" s="15" t="s">
        <v>95</v>
      </c>
      <c r="K58" s="15" t="s">
        <v>94</v>
      </c>
    </row>
    <row r="59" spans="1:11" ht="25" x14ac:dyDescent="0.35">
      <c r="A59" s="12" t="s">
        <v>246</v>
      </c>
      <c r="B59" s="12">
        <v>3</v>
      </c>
      <c r="C59" s="13" t="s">
        <v>247</v>
      </c>
      <c r="D59" s="13" t="s">
        <v>248</v>
      </c>
      <c r="E59" s="13" t="s">
        <v>105</v>
      </c>
      <c r="F59" s="13" t="s">
        <v>106</v>
      </c>
      <c r="G59" s="12" t="s">
        <v>94</v>
      </c>
      <c r="H59" s="13" t="s">
        <v>249</v>
      </c>
      <c r="I59" s="14" t="e">
        <f>SUMIFS(#REF!,#REF!,A59)</f>
        <v>#REF!</v>
      </c>
      <c r="J59" s="15" t="s">
        <v>95</v>
      </c>
      <c r="K59" s="15" t="s">
        <v>94</v>
      </c>
    </row>
    <row r="60" spans="1:11" ht="25" x14ac:dyDescent="0.35">
      <c r="A60" s="12" t="s">
        <v>250</v>
      </c>
      <c r="B60" s="12">
        <v>3</v>
      </c>
      <c r="C60" s="13" t="s">
        <v>251</v>
      </c>
      <c r="D60" s="13" t="s">
        <v>252</v>
      </c>
      <c r="E60" s="13" t="s">
        <v>253</v>
      </c>
      <c r="F60" s="13" t="s">
        <v>254</v>
      </c>
      <c r="G60" s="12" t="s">
        <v>94</v>
      </c>
      <c r="H60" s="13" t="s">
        <v>210</v>
      </c>
      <c r="I60" s="14" t="e">
        <f>SUMIFS(#REF!,#REF!,A60)</f>
        <v>#REF!</v>
      </c>
      <c r="J60" s="15" t="s">
        <v>95</v>
      </c>
      <c r="K60" s="15" t="s">
        <v>94</v>
      </c>
    </row>
    <row r="61" spans="1:11" ht="25" x14ac:dyDescent="0.35">
      <c r="A61" s="12" t="s">
        <v>255</v>
      </c>
      <c r="B61" s="12">
        <v>3</v>
      </c>
      <c r="C61" s="13" t="s">
        <v>256</v>
      </c>
      <c r="D61" s="13" t="s">
        <v>257</v>
      </c>
      <c r="E61" s="13" t="s">
        <v>239</v>
      </c>
      <c r="F61" s="13" t="s">
        <v>240</v>
      </c>
      <c r="G61" s="12" t="s">
        <v>94</v>
      </c>
      <c r="H61" s="13" t="s">
        <v>241</v>
      </c>
      <c r="I61" s="14" t="e">
        <f>SUMIFS(#REF!,#REF!,A61)</f>
        <v>#REF!</v>
      </c>
      <c r="J61" s="15" t="s">
        <v>95</v>
      </c>
      <c r="K61" s="15" t="s">
        <v>94</v>
      </c>
    </row>
    <row r="62" spans="1:11" x14ac:dyDescent="0.35">
      <c r="A62" s="12" t="s">
        <v>258</v>
      </c>
      <c r="B62" s="12">
        <v>3</v>
      </c>
      <c r="C62" s="13" t="s">
        <v>259</v>
      </c>
      <c r="D62" s="13" t="s">
        <v>260</v>
      </c>
      <c r="E62" s="13" t="s">
        <v>239</v>
      </c>
      <c r="F62" s="13" t="s">
        <v>240</v>
      </c>
      <c r="G62" s="12" t="s">
        <v>94</v>
      </c>
      <c r="H62" s="13" t="s">
        <v>245</v>
      </c>
      <c r="I62" s="14" t="e">
        <f>SUMIFS(#REF!,#REF!,A62)</f>
        <v>#REF!</v>
      </c>
      <c r="J62" s="15" t="s">
        <v>95</v>
      </c>
      <c r="K62" s="15" t="s">
        <v>94</v>
      </c>
    </row>
    <row r="63" spans="1:11" ht="25" x14ac:dyDescent="0.35">
      <c r="A63" s="12" t="s">
        <v>261</v>
      </c>
      <c r="B63" s="12">
        <v>3</v>
      </c>
      <c r="C63" s="13" t="s">
        <v>262</v>
      </c>
      <c r="D63" s="13" t="s">
        <v>263</v>
      </c>
      <c r="E63" s="13" t="s">
        <v>105</v>
      </c>
      <c r="F63" s="13" t="s">
        <v>106</v>
      </c>
      <c r="G63" s="12" t="s">
        <v>94</v>
      </c>
      <c r="H63" s="13" t="s">
        <v>249</v>
      </c>
      <c r="I63" s="14" t="e">
        <f>SUMIFS(#REF!,#REF!,A63)</f>
        <v>#REF!</v>
      </c>
      <c r="J63" s="15" t="s">
        <v>95</v>
      </c>
      <c r="K63" s="15" t="s">
        <v>94</v>
      </c>
    </row>
    <row r="64" spans="1:11" x14ac:dyDescent="0.35">
      <c r="A64" s="12" t="s">
        <v>264</v>
      </c>
      <c r="B64" s="12">
        <v>3</v>
      </c>
      <c r="C64" s="13" t="s">
        <v>265</v>
      </c>
      <c r="D64" s="13" t="s">
        <v>266</v>
      </c>
      <c r="E64" s="13" t="s">
        <v>239</v>
      </c>
      <c r="F64" s="13" t="s">
        <v>240</v>
      </c>
      <c r="G64" s="12" t="s">
        <v>94</v>
      </c>
      <c r="H64" s="13" t="s">
        <v>267</v>
      </c>
      <c r="I64" s="14" t="e">
        <f>SUMIFS(#REF!,#REF!,A64)</f>
        <v>#REF!</v>
      </c>
      <c r="J64" s="15" t="s">
        <v>95</v>
      </c>
      <c r="K64" s="15" t="s">
        <v>94</v>
      </c>
    </row>
    <row r="65" spans="1:11" x14ac:dyDescent="0.35">
      <c r="A65" s="12" t="s">
        <v>268</v>
      </c>
      <c r="B65" s="12">
        <v>3</v>
      </c>
      <c r="C65" s="13" t="s">
        <v>269</v>
      </c>
      <c r="D65" s="13" t="s">
        <v>270</v>
      </c>
      <c r="E65" s="13" t="s">
        <v>239</v>
      </c>
      <c r="F65" s="13" t="s">
        <v>240</v>
      </c>
      <c r="G65" s="12" t="s">
        <v>94</v>
      </c>
      <c r="H65" s="13" t="s">
        <v>271</v>
      </c>
      <c r="I65" s="14" t="e">
        <f>SUMIFS(#REF!,#REF!,A65)</f>
        <v>#REF!</v>
      </c>
      <c r="J65" s="15" t="s">
        <v>95</v>
      </c>
      <c r="K65" s="15" t="s">
        <v>94</v>
      </c>
    </row>
    <row r="66" spans="1:11" x14ac:dyDescent="0.35">
      <c r="A66" s="12" t="s">
        <v>272</v>
      </c>
      <c r="B66" s="12">
        <v>3</v>
      </c>
      <c r="C66" s="13" t="s">
        <v>273</v>
      </c>
      <c r="D66" s="13" t="s">
        <v>274</v>
      </c>
      <c r="E66" s="13" t="s">
        <v>239</v>
      </c>
      <c r="F66" s="13" t="s">
        <v>240</v>
      </c>
      <c r="G66" s="12" t="s">
        <v>94</v>
      </c>
      <c r="H66" s="13" t="s">
        <v>275</v>
      </c>
      <c r="I66" s="14" t="e">
        <f>SUMIFS(#REF!,#REF!,A66)</f>
        <v>#REF!</v>
      </c>
      <c r="J66" s="15" t="s">
        <v>95</v>
      </c>
      <c r="K66" s="15" t="s">
        <v>94</v>
      </c>
    </row>
    <row r="67" spans="1:11" x14ac:dyDescent="0.35">
      <c r="A67" s="12" t="s">
        <v>276</v>
      </c>
      <c r="B67" s="12">
        <v>3</v>
      </c>
      <c r="C67" s="13" t="s">
        <v>277</v>
      </c>
      <c r="D67" s="13" t="s">
        <v>278</v>
      </c>
      <c r="E67" s="13" t="s">
        <v>239</v>
      </c>
      <c r="F67" s="13" t="s">
        <v>240</v>
      </c>
      <c r="G67" s="12" t="s">
        <v>94</v>
      </c>
      <c r="H67" s="13" t="s">
        <v>279</v>
      </c>
      <c r="I67" s="14" t="e">
        <f>SUMIFS(#REF!,#REF!,A67)</f>
        <v>#REF!</v>
      </c>
      <c r="J67" s="15" t="s">
        <v>95</v>
      </c>
      <c r="K67" s="15" t="s">
        <v>94</v>
      </c>
    </row>
    <row r="68" spans="1:11" ht="65" x14ac:dyDescent="0.35">
      <c r="A68" s="8" t="s">
        <v>155</v>
      </c>
      <c r="B68" s="8">
        <v>2</v>
      </c>
      <c r="C68" s="9" t="s">
        <v>280</v>
      </c>
      <c r="D68" s="9" t="s">
        <v>281</v>
      </c>
      <c r="E68" s="9"/>
      <c r="F68" s="9"/>
      <c r="G68" s="8"/>
      <c r="H68" s="9"/>
      <c r="I68" s="10" t="e">
        <f>SUMIFS($I$4:$I$251,$J$4:$J$251,A68)</f>
        <v>#REF!</v>
      </c>
      <c r="J68" s="11" t="s">
        <v>94</v>
      </c>
      <c r="K68" s="11" t="s">
        <v>94</v>
      </c>
    </row>
    <row r="69" spans="1:11" ht="25" x14ac:dyDescent="0.35">
      <c r="A69" s="12" t="s">
        <v>282</v>
      </c>
      <c r="B69" s="12">
        <v>3</v>
      </c>
      <c r="C69" s="13" t="s">
        <v>283</v>
      </c>
      <c r="D69" s="13" t="s">
        <v>284</v>
      </c>
      <c r="E69" s="13" t="s">
        <v>285</v>
      </c>
      <c r="F69" s="13" t="s">
        <v>286</v>
      </c>
      <c r="G69" s="12" t="s">
        <v>44</v>
      </c>
      <c r="H69" s="13" t="s">
        <v>45</v>
      </c>
      <c r="I69" s="14" t="e">
        <f>SUMIFS(#REF!,#REF!,A69)</f>
        <v>#REF!</v>
      </c>
      <c r="J69" s="15" t="s">
        <v>155</v>
      </c>
      <c r="K69" s="15" t="s">
        <v>94</v>
      </c>
    </row>
    <row r="70" spans="1:11" ht="25" x14ac:dyDescent="0.35">
      <c r="A70" s="12" t="s">
        <v>287</v>
      </c>
      <c r="B70" s="12">
        <v>3</v>
      </c>
      <c r="C70" s="13" t="s">
        <v>288</v>
      </c>
      <c r="D70" s="13" t="s">
        <v>289</v>
      </c>
      <c r="E70" s="13" t="s">
        <v>38</v>
      </c>
      <c r="F70" s="13" t="s">
        <v>39</v>
      </c>
      <c r="G70" s="12" t="s">
        <v>44</v>
      </c>
      <c r="H70" s="13" t="s">
        <v>290</v>
      </c>
      <c r="I70" s="14" t="e">
        <f>SUMIFS(#REF!,#REF!,A70)</f>
        <v>#REF!</v>
      </c>
      <c r="J70" s="15" t="s">
        <v>155</v>
      </c>
      <c r="K70" s="15" t="s">
        <v>94</v>
      </c>
    </row>
    <row r="71" spans="1:11" ht="25" x14ac:dyDescent="0.35">
      <c r="A71" s="12" t="s">
        <v>291</v>
      </c>
      <c r="B71" s="12">
        <v>3</v>
      </c>
      <c r="C71" s="13" t="s">
        <v>292</v>
      </c>
      <c r="D71" s="13" t="s">
        <v>293</v>
      </c>
      <c r="E71" s="13" t="s">
        <v>294</v>
      </c>
      <c r="F71" s="13" t="s">
        <v>295</v>
      </c>
      <c r="G71" s="12" t="s">
        <v>44</v>
      </c>
      <c r="H71" s="13" t="s">
        <v>296</v>
      </c>
      <c r="I71" s="14" t="e">
        <f>SUMIFS(#REF!,#REF!,A71)</f>
        <v>#REF!</v>
      </c>
      <c r="J71" s="15" t="s">
        <v>155</v>
      </c>
      <c r="K71" s="15" t="s">
        <v>94</v>
      </c>
    </row>
    <row r="72" spans="1:11" ht="25" x14ac:dyDescent="0.35">
      <c r="A72" s="12" t="s">
        <v>297</v>
      </c>
      <c r="B72" s="12">
        <v>3</v>
      </c>
      <c r="C72" s="13" t="s">
        <v>298</v>
      </c>
      <c r="D72" s="13" t="s">
        <v>299</v>
      </c>
      <c r="E72" s="13" t="s">
        <v>300</v>
      </c>
      <c r="F72" s="13" t="s">
        <v>301</v>
      </c>
      <c r="G72" s="12" t="s">
        <v>44</v>
      </c>
      <c r="H72" s="13" t="s">
        <v>290</v>
      </c>
      <c r="I72" s="14" t="e">
        <f>SUMIFS(#REF!,#REF!,A72)</f>
        <v>#REF!</v>
      </c>
      <c r="J72" s="15" t="s">
        <v>155</v>
      </c>
      <c r="K72" s="15" t="s">
        <v>94</v>
      </c>
    </row>
    <row r="73" spans="1:11" ht="104" x14ac:dyDescent="0.35">
      <c r="A73" s="8" t="s">
        <v>172</v>
      </c>
      <c r="B73" s="8">
        <v>2</v>
      </c>
      <c r="C73" s="9" t="s">
        <v>302</v>
      </c>
      <c r="D73" s="9" t="s">
        <v>303</v>
      </c>
      <c r="E73" s="9"/>
      <c r="F73" s="9"/>
      <c r="G73" s="8"/>
      <c r="H73" s="9"/>
      <c r="I73" s="10" t="e">
        <f>SUMIFS($I$4:$I$251,$J$4:$J$251,A73)</f>
        <v>#REF!</v>
      </c>
      <c r="J73" s="11" t="s">
        <v>94</v>
      </c>
      <c r="K73" s="11" t="s">
        <v>94</v>
      </c>
    </row>
    <row r="74" spans="1:11" ht="25" x14ac:dyDescent="0.35">
      <c r="A74" s="12" t="s">
        <v>304</v>
      </c>
      <c r="B74" s="12">
        <v>3</v>
      </c>
      <c r="C74" s="13" t="s">
        <v>305</v>
      </c>
      <c r="D74" s="13" t="s">
        <v>306</v>
      </c>
      <c r="E74" s="13" t="s">
        <v>307</v>
      </c>
      <c r="F74" s="13" t="s">
        <v>308</v>
      </c>
      <c r="G74" s="12" t="s">
        <v>309</v>
      </c>
      <c r="H74" s="13" t="s">
        <v>310</v>
      </c>
      <c r="I74" s="14" t="e">
        <f>SUMIFS(#REF!,#REF!,A74)</f>
        <v>#REF!</v>
      </c>
      <c r="J74" s="15" t="s">
        <v>172</v>
      </c>
      <c r="K74" s="15" t="s">
        <v>94</v>
      </c>
    </row>
    <row r="75" spans="1:11" ht="25" x14ac:dyDescent="0.35">
      <c r="A75" s="12" t="s">
        <v>311</v>
      </c>
      <c r="B75" s="12">
        <v>3</v>
      </c>
      <c r="C75" s="13" t="s">
        <v>312</v>
      </c>
      <c r="D75" s="13" t="s">
        <v>313</v>
      </c>
      <c r="E75" s="13" t="s">
        <v>38</v>
      </c>
      <c r="F75" s="13" t="s">
        <v>39</v>
      </c>
      <c r="G75" s="12" t="s">
        <v>44</v>
      </c>
      <c r="H75" s="13" t="s">
        <v>45</v>
      </c>
      <c r="I75" s="14" t="e">
        <f>SUMIFS(#REF!,#REF!,A75)</f>
        <v>#REF!</v>
      </c>
      <c r="J75" s="15" t="s">
        <v>172</v>
      </c>
      <c r="K75" s="15" t="s">
        <v>94</v>
      </c>
    </row>
    <row r="76" spans="1:11" ht="25" x14ac:dyDescent="0.35">
      <c r="A76" s="12" t="s">
        <v>314</v>
      </c>
      <c r="B76" s="12">
        <v>3</v>
      </c>
      <c r="C76" s="13" t="s">
        <v>315</v>
      </c>
      <c r="D76" s="13" t="s">
        <v>316</v>
      </c>
      <c r="E76" s="13" t="s">
        <v>317</v>
      </c>
      <c r="F76" s="13" t="s">
        <v>318</v>
      </c>
      <c r="G76" s="12" t="s">
        <v>94</v>
      </c>
      <c r="H76" s="13"/>
      <c r="I76" s="14" t="e">
        <f>SUMIFS(#REF!,#REF!,A76)</f>
        <v>#REF!</v>
      </c>
      <c r="J76" s="15" t="s">
        <v>172</v>
      </c>
      <c r="K76" s="15" t="s">
        <v>94</v>
      </c>
    </row>
    <row r="77" spans="1:11" ht="25" x14ac:dyDescent="0.35">
      <c r="A77" s="12" t="s">
        <v>319</v>
      </c>
      <c r="B77" s="12">
        <v>3</v>
      </c>
      <c r="C77" s="13" t="s">
        <v>320</v>
      </c>
      <c r="D77" s="13" t="s">
        <v>321</v>
      </c>
      <c r="E77" s="13" t="s">
        <v>317</v>
      </c>
      <c r="F77" s="13" t="s">
        <v>318</v>
      </c>
      <c r="G77" s="12" t="s">
        <v>94</v>
      </c>
      <c r="H77" s="13" t="s">
        <v>322</v>
      </c>
      <c r="I77" s="14" t="e">
        <f>SUMIFS(#REF!,#REF!,A77)</f>
        <v>#REF!</v>
      </c>
      <c r="J77" s="15" t="s">
        <v>172</v>
      </c>
      <c r="K77" s="15" t="s">
        <v>94</v>
      </c>
    </row>
    <row r="78" spans="1:11" ht="25" x14ac:dyDescent="0.35">
      <c r="A78" s="12" t="s">
        <v>323</v>
      </c>
      <c r="B78" s="12">
        <v>3</v>
      </c>
      <c r="C78" s="13" t="s">
        <v>324</v>
      </c>
      <c r="D78" s="13" t="s">
        <v>325</v>
      </c>
      <c r="E78" s="13" t="s">
        <v>38</v>
      </c>
      <c r="F78" s="13" t="s">
        <v>39</v>
      </c>
      <c r="G78" s="12" t="s">
        <v>44</v>
      </c>
      <c r="H78" s="13" t="s">
        <v>290</v>
      </c>
      <c r="I78" s="14" t="e">
        <f>SUMIFS(#REF!,#REF!,A78)</f>
        <v>#REF!</v>
      </c>
      <c r="J78" s="15" t="s">
        <v>172</v>
      </c>
      <c r="K78" s="15" t="s">
        <v>94</v>
      </c>
    </row>
    <row r="79" spans="1:11" ht="37.5" x14ac:dyDescent="0.35">
      <c r="A79" s="12" t="s">
        <v>326</v>
      </c>
      <c r="B79" s="12">
        <v>3</v>
      </c>
      <c r="C79" s="13" t="s">
        <v>327</v>
      </c>
      <c r="D79" s="13" t="s">
        <v>328</v>
      </c>
      <c r="E79" s="13" t="s">
        <v>329</v>
      </c>
      <c r="F79" s="13" t="s">
        <v>330</v>
      </c>
      <c r="G79" s="12" t="s">
        <v>94</v>
      </c>
      <c r="H79" s="13" t="s">
        <v>331</v>
      </c>
      <c r="I79" s="14" t="e">
        <f>SUMIFS(#REF!,#REF!,A79)</f>
        <v>#REF!</v>
      </c>
      <c r="J79" s="15" t="s">
        <v>172</v>
      </c>
      <c r="K79" s="15" t="s">
        <v>94</v>
      </c>
    </row>
    <row r="80" spans="1:11" ht="25" x14ac:dyDescent="0.35">
      <c r="A80" s="12" t="s">
        <v>332</v>
      </c>
      <c r="B80" s="12">
        <v>3</v>
      </c>
      <c r="C80" s="13" t="s">
        <v>333</v>
      </c>
      <c r="D80" s="13" t="s">
        <v>334</v>
      </c>
      <c r="E80" s="13" t="s">
        <v>335</v>
      </c>
      <c r="F80" s="13" t="s">
        <v>336</v>
      </c>
      <c r="G80" s="12" t="s">
        <v>94</v>
      </c>
      <c r="H80" s="13" t="s">
        <v>225</v>
      </c>
      <c r="I80" s="14" t="e">
        <f>SUMIFS(#REF!,#REF!,A80)</f>
        <v>#REF!</v>
      </c>
      <c r="J80" s="15" t="s">
        <v>172</v>
      </c>
      <c r="K80" s="15" t="s">
        <v>94</v>
      </c>
    </row>
    <row r="81" spans="1:11" ht="87.5" x14ac:dyDescent="0.35">
      <c r="A81" s="12" t="s">
        <v>337</v>
      </c>
      <c r="B81" s="12">
        <v>3</v>
      </c>
      <c r="C81" s="13" t="s">
        <v>338</v>
      </c>
      <c r="D81" s="13" t="s">
        <v>339</v>
      </c>
      <c r="E81" s="13" t="s">
        <v>223</v>
      </c>
      <c r="F81" s="13" t="s">
        <v>224</v>
      </c>
      <c r="G81" s="12" t="s">
        <v>94</v>
      </c>
      <c r="H81" s="13" t="s">
        <v>225</v>
      </c>
      <c r="I81" s="14" t="e">
        <f>SUMIFS(#REF!,#REF!,A81)</f>
        <v>#REF!</v>
      </c>
      <c r="J81" s="15" t="s">
        <v>172</v>
      </c>
      <c r="K81" s="15" t="s">
        <v>94</v>
      </c>
    </row>
    <row r="82" spans="1:11" ht="39" x14ac:dyDescent="0.35">
      <c r="A82" s="4" t="s">
        <v>139</v>
      </c>
      <c r="B82" s="4">
        <v>1</v>
      </c>
      <c r="C82" s="5" t="s">
        <v>340</v>
      </c>
      <c r="D82" s="5" t="s">
        <v>341</v>
      </c>
      <c r="E82" s="5"/>
      <c r="F82" s="5"/>
      <c r="G82" s="4"/>
      <c r="H82" s="5"/>
      <c r="I82" s="6" t="e">
        <f>SUMIFS($I$4:$I$251,$K$4:$K$251,A82,$B$4:$B$251,3)</f>
        <v>#REF!</v>
      </c>
      <c r="J82" s="7"/>
      <c r="K82" s="7" t="s">
        <v>139</v>
      </c>
    </row>
    <row r="83" spans="1:11" ht="26" x14ac:dyDescent="0.35">
      <c r="A83" s="8" t="s">
        <v>146</v>
      </c>
      <c r="B83" s="8">
        <v>2</v>
      </c>
      <c r="C83" s="9" t="s">
        <v>342</v>
      </c>
      <c r="D83" s="9" t="s">
        <v>343</v>
      </c>
      <c r="E83" s="9"/>
      <c r="F83" s="9"/>
      <c r="G83" s="8"/>
      <c r="H83" s="9"/>
      <c r="I83" s="10" t="e">
        <f>SUMIFS($I$4:$I$251,$J$4:$J$251,A83)</f>
        <v>#REF!</v>
      </c>
      <c r="J83" s="11" t="s">
        <v>139</v>
      </c>
      <c r="K83" s="11" t="s">
        <v>139</v>
      </c>
    </row>
    <row r="84" spans="1:11" ht="87.5" x14ac:dyDescent="0.35">
      <c r="A84" s="12" t="s">
        <v>344</v>
      </c>
      <c r="B84" s="12">
        <v>3</v>
      </c>
      <c r="C84" s="13" t="s">
        <v>345</v>
      </c>
      <c r="D84" s="13" t="s">
        <v>222</v>
      </c>
      <c r="E84" s="13" t="s">
        <v>223</v>
      </c>
      <c r="F84" s="13" t="s">
        <v>224</v>
      </c>
      <c r="G84" s="12" t="s">
        <v>94</v>
      </c>
      <c r="H84" s="13" t="s">
        <v>225</v>
      </c>
      <c r="I84" s="14" t="e">
        <f>SUMIFS(#REF!,#REF!,A84)</f>
        <v>#REF!</v>
      </c>
      <c r="J84" s="15" t="s">
        <v>146</v>
      </c>
      <c r="K84" s="15" t="s">
        <v>139</v>
      </c>
    </row>
    <row r="85" spans="1:11" ht="37.5" x14ac:dyDescent="0.35">
      <c r="A85" s="12" t="s">
        <v>346</v>
      </c>
      <c r="B85" s="12">
        <v>3</v>
      </c>
      <c r="C85" s="13" t="s">
        <v>347</v>
      </c>
      <c r="D85" s="13" t="s">
        <v>348</v>
      </c>
      <c r="E85" s="13" t="s">
        <v>229</v>
      </c>
      <c r="F85" s="13" t="s">
        <v>230</v>
      </c>
      <c r="G85" s="12" t="s">
        <v>11</v>
      </c>
      <c r="H85" s="13" t="s">
        <v>225</v>
      </c>
      <c r="I85" s="14" t="e">
        <f>SUMIFS(#REF!,#REF!,A85)</f>
        <v>#REF!</v>
      </c>
      <c r="J85" s="15" t="s">
        <v>146</v>
      </c>
      <c r="K85" s="15" t="s">
        <v>139</v>
      </c>
    </row>
    <row r="86" spans="1:11" ht="39" x14ac:dyDescent="0.35">
      <c r="A86" s="8" t="s">
        <v>349</v>
      </c>
      <c r="B86" s="8">
        <v>2</v>
      </c>
      <c r="C86" s="9" t="s">
        <v>350</v>
      </c>
      <c r="D86" s="9" t="s">
        <v>351</v>
      </c>
      <c r="E86" s="9"/>
      <c r="F86" s="9"/>
      <c r="G86" s="8"/>
      <c r="H86" s="9"/>
      <c r="I86" s="10" t="e">
        <f>SUMIFS($I$4:$I$251,$J$4:$J$251,A86)</f>
        <v>#REF!</v>
      </c>
      <c r="J86" s="11" t="s">
        <v>139</v>
      </c>
      <c r="K86" s="11" t="s">
        <v>139</v>
      </c>
    </row>
    <row r="87" spans="1:11" ht="25" x14ac:dyDescent="0.35">
      <c r="A87" s="12" t="s">
        <v>352</v>
      </c>
      <c r="B87" s="12">
        <v>3</v>
      </c>
      <c r="C87" s="13" t="s">
        <v>353</v>
      </c>
      <c r="D87" s="13" t="s">
        <v>354</v>
      </c>
      <c r="E87" s="13" t="s">
        <v>355</v>
      </c>
      <c r="F87" s="13" t="s">
        <v>356</v>
      </c>
      <c r="G87" s="12" t="s">
        <v>94</v>
      </c>
      <c r="H87" s="13" t="s">
        <v>357</v>
      </c>
      <c r="I87" s="14" t="e">
        <f>SUMIFS(#REF!,#REF!,A87)</f>
        <v>#REF!</v>
      </c>
      <c r="J87" s="15" t="s">
        <v>349</v>
      </c>
      <c r="K87" s="15" t="s">
        <v>139</v>
      </c>
    </row>
    <row r="88" spans="1:11" ht="25" x14ac:dyDescent="0.35">
      <c r="A88" s="12" t="s">
        <v>358</v>
      </c>
      <c r="B88" s="12">
        <v>3</v>
      </c>
      <c r="C88" s="13" t="s">
        <v>359</v>
      </c>
      <c r="D88" s="13" t="s">
        <v>360</v>
      </c>
      <c r="E88" s="13" t="s">
        <v>361</v>
      </c>
      <c r="F88" s="13" t="s">
        <v>362</v>
      </c>
      <c r="G88" s="12" t="s">
        <v>94</v>
      </c>
      <c r="H88" s="13" t="s">
        <v>363</v>
      </c>
      <c r="I88" s="14" t="e">
        <f>SUMIFS(#REF!,#REF!,A88)</f>
        <v>#REF!</v>
      </c>
      <c r="J88" s="15" t="s">
        <v>349</v>
      </c>
      <c r="K88" s="15" t="s">
        <v>139</v>
      </c>
    </row>
    <row r="89" spans="1:11" ht="25" x14ac:dyDescent="0.35">
      <c r="A89" s="12" t="s">
        <v>364</v>
      </c>
      <c r="B89" s="12">
        <v>3</v>
      </c>
      <c r="C89" s="13" t="s">
        <v>365</v>
      </c>
      <c r="D89" s="13" t="s">
        <v>366</v>
      </c>
      <c r="E89" s="13" t="s">
        <v>105</v>
      </c>
      <c r="F89" s="13" t="s">
        <v>106</v>
      </c>
      <c r="G89" s="12" t="s">
        <v>94</v>
      </c>
      <c r="H89" s="13" t="s">
        <v>249</v>
      </c>
      <c r="I89" s="14" t="e">
        <f>SUMIFS(#REF!,#REF!,A89)</f>
        <v>#REF!</v>
      </c>
      <c r="J89" s="15" t="s">
        <v>349</v>
      </c>
      <c r="K89" s="15" t="s">
        <v>139</v>
      </c>
    </row>
    <row r="90" spans="1:11" ht="25" x14ac:dyDescent="0.35">
      <c r="A90" s="12" t="s">
        <v>367</v>
      </c>
      <c r="B90" s="12">
        <v>3</v>
      </c>
      <c r="C90" s="13" t="s">
        <v>368</v>
      </c>
      <c r="D90" s="13" t="s">
        <v>369</v>
      </c>
      <c r="E90" s="13" t="s">
        <v>355</v>
      </c>
      <c r="F90" s="13" t="s">
        <v>356</v>
      </c>
      <c r="G90" s="12" t="s">
        <v>94</v>
      </c>
      <c r="H90" s="13" t="s">
        <v>357</v>
      </c>
      <c r="I90" s="14" t="e">
        <f>SUMIFS(#REF!,#REF!,A90)</f>
        <v>#REF!</v>
      </c>
      <c r="J90" s="15" t="s">
        <v>349</v>
      </c>
      <c r="K90" s="15" t="s">
        <v>139</v>
      </c>
    </row>
    <row r="91" spans="1:11" ht="25" x14ac:dyDescent="0.35">
      <c r="A91" s="12" t="s">
        <v>370</v>
      </c>
      <c r="B91" s="12">
        <v>3</v>
      </c>
      <c r="C91" s="13" t="s">
        <v>371</v>
      </c>
      <c r="D91" s="13" t="s">
        <v>372</v>
      </c>
      <c r="E91" s="13" t="s">
        <v>355</v>
      </c>
      <c r="F91" s="13" t="s">
        <v>356</v>
      </c>
      <c r="G91" s="12" t="s">
        <v>94</v>
      </c>
      <c r="H91" s="13" t="s">
        <v>363</v>
      </c>
      <c r="I91" s="14" t="e">
        <f>SUMIFS(#REF!,#REF!,A91)</f>
        <v>#REF!</v>
      </c>
      <c r="J91" s="15" t="s">
        <v>349</v>
      </c>
      <c r="K91" s="15" t="s">
        <v>139</v>
      </c>
    </row>
    <row r="92" spans="1:11" ht="25" x14ac:dyDescent="0.35">
      <c r="A92" s="12" t="s">
        <v>373</v>
      </c>
      <c r="B92" s="12">
        <v>3</v>
      </c>
      <c r="C92" s="13" t="s">
        <v>374</v>
      </c>
      <c r="D92" s="13" t="s">
        <v>375</v>
      </c>
      <c r="E92" s="13" t="s">
        <v>355</v>
      </c>
      <c r="F92" s="13" t="s">
        <v>356</v>
      </c>
      <c r="G92" s="12" t="s">
        <v>94</v>
      </c>
      <c r="H92" s="13" t="s">
        <v>376</v>
      </c>
      <c r="I92" s="14" t="e">
        <f>SUMIFS(#REF!,#REF!,A92)</f>
        <v>#REF!</v>
      </c>
      <c r="J92" s="15" t="s">
        <v>349</v>
      </c>
      <c r="K92" s="15" t="s">
        <v>139</v>
      </c>
    </row>
    <row r="93" spans="1:11" ht="25" x14ac:dyDescent="0.35">
      <c r="A93" s="12" t="s">
        <v>377</v>
      </c>
      <c r="B93" s="12">
        <v>3</v>
      </c>
      <c r="C93" s="13" t="s">
        <v>378</v>
      </c>
      <c r="D93" s="13" t="s">
        <v>379</v>
      </c>
      <c r="E93" s="13" t="s">
        <v>355</v>
      </c>
      <c r="F93" s="13" t="s">
        <v>356</v>
      </c>
      <c r="G93" s="12" t="s">
        <v>94</v>
      </c>
      <c r="H93" s="13" t="s">
        <v>380</v>
      </c>
      <c r="I93" s="14" t="e">
        <f>SUMIFS(#REF!,#REF!,A93)</f>
        <v>#REF!</v>
      </c>
      <c r="J93" s="15" t="s">
        <v>349</v>
      </c>
      <c r="K93" s="15" t="s">
        <v>139</v>
      </c>
    </row>
    <row r="94" spans="1:11" x14ac:dyDescent="0.35">
      <c r="A94" s="12" t="s">
        <v>381</v>
      </c>
      <c r="B94" s="12">
        <v>3</v>
      </c>
      <c r="C94" s="13" t="s">
        <v>382</v>
      </c>
      <c r="D94" s="13" t="s">
        <v>383</v>
      </c>
      <c r="E94" s="13" t="s">
        <v>355</v>
      </c>
      <c r="F94" s="13" t="s">
        <v>356</v>
      </c>
      <c r="G94" s="12" t="s">
        <v>94</v>
      </c>
      <c r="H94" s="13" t="s">
        <v>384</v>
      </c>
      <c r="I94" s="14" t="e">
        <f>SUMIFS(#REF!,#REF!,A94)</f>
        <v>#REF!</v>
      </c>
      <c r="J94" s="15" t="s">
        <v>349</v>
      </c>
      <c r="K94" s="15" t="s">
        <v>139</v>
      </c>
    </row>
    <row r="95" spans="1:11" ht="65" x14ac:dyDescent="0.35">
      <c r="A95" s="8" t="s">
        <v>385</v>
      </c>
      <c r="B95" s="8">
        <v>2</v>
      </c>
      <c r="C95" s="9" t="s">
        <v>386</v>
      </c>
      <c r="D95" s="9" t="s">
        <v>281</v>
      </c>
      <c r="E95" s="9"/>
      <c r="F95" s="9"/>
      <c r="G95" s="8"/>
      <c r="H95" s="9"/>
      <c r="I95" s="10" t="e">
        <f>SUMIFS($I$4:$I$251,$J$4:$J$251,A95)</f>
        <v>#REF!</v>
      </c>
      <c r="J95" s="11" t="s">
        <v>139</v>
      </c>
      <c r="K95" s="11" t="s">
        <v>139</v>
      </c>
    </row>
    <row r="96" spans="1:11" ht="25" x14ac:dyDescent="0.35">
      <c r="A96" s="12" t="s">
        <v>387</v>
      </c>
      <c r="B96" s="12">
        <v>3</v>
      </c>
      <c r="C96" s="13" t="s">
        <v>388</v>
      </c>
      <c r="D96" s="13" t="s">
        <v>284</v>
      </c>
      <c r="E96" s="13" t="s">
        <v>285</v>
      </c>
      <c r="F96" s="13" t="s">
        <v>286</v>
      </c>
      <c r="G96" s="12" t="s">
        <v>44</v>
      </c>
      <c r="H96" s="13" t="s">
        <v>45</v>
      </c>
      <c r="I96" s="14" t="e">
        <f>SUMIFS(#REF!,#REF!,A96)</f>
        <v>#REF!</v>
      </c>
      <c r="J96" s="15" t="s">
        <v>385</v>
      </c>
      <c r="K96" s="15" t="s">
        <v>139</v>
      </c>
    </row>
    <row r="97" spans="1:11" x14ac:dyDescent="0.35">
      <c r="A97" s="12" t="s">
        <v>389</v>
      </c>
      <c r="B97" s="12">
        <v>3</v>
      </c>
      <c r="C97" s="13" t="s">
        <v>390</v>
      </c>
      <c r="D97" s="13" t="s">
        <v>289</v>
      </c>
      <c r="E97" s="13" t="s">
        <v>38</v>
      </c>
      <c r="F97" s="13" t="s">
        <v>39</v>
      </c>
      <c r="G97" s="12" t="s">
        <v>44</v>
      </c>
      <c r="H97" s="13" t="s">
        <v>290</v>
      </c>
      <c r="I97" s="14" t="e">
        <f>SUMIFS(#REF!,#REF!,A97)</f>
        <v>#REF!</v>
      </c>
      <c r="J97" s="15" t="s">
        <v>385</v>
      </c>
      <c r="K97" s="15" t="s">
        <v>139</v>
      </c>
    </row>
    <row r="98" spans="1:11" ht="25" x14ac:dyDescent="0.35">
      <c r="A98" s="12" t="s">
        <v>391</v>
      </c>
      <c r="B98" s="12">
        <v>3</v>
      </c>
      <c r="C98" s="13" t="s">
        <v>392</v>
      </c>
      <c r="D98" s="13" t="s">
        <v>293</v>
      </c>
      <c r="E98" s="13" t="s">
        <v>294</v>
      </c>
      <c r="F98" s="13" t="s">
        <v>295</v>
      </c>
      <c r="G98" s="12" t="s">
        <v>44</v>
      </c>
      <c r="H98" s="13" t="s">
        <v>296</v>
      </c>
      <c r="I98" s="14" t="e">
        <f>SUMIFS(#REF!,#REF!,A98)</f>
        <v>#REF!</v>
      </c>
      <c r="J98" s="15" t="s">
        <v>385</v>
      </c>
      <c r="K98" s="15" t="s">
        <v>139</v>
      </c>
    </row>
    <row r="99" spans="1:11" ht="25" x14ac:dyDescent="0.35">
      <c r="A99" s="12" t="s">
        <v>393</v>
      </c>
      <c r="B99" s="12">
        <v>3</v>
      </c>
      <c r="C99" s="13" t="s">
        <v>298</v>
      </c>
      <c r="D99" s="13" t="s">
        <v>299</v>
      </c>
      <c r="E99" s="13" t="s">
        <v>361</v>
      </c>
      <c r="F99" s="13" t="s">
        <v>362</v>
      </c>
      <c r="G99" s="12" t="s">
        <v>44</v>
      </c>
      <c r="H99" s="13" t="s">
        <v>290</v>
      </c>
      <c r="I99" s="14" t="e">
        <f>SUMIFS(#REF!,#REF!,A99)</f>
        <v>#REF!</v>
      </c>
      <c r="J99" s="15" t="s">
        <v>385</v>
      </c>
      <c r="K99" s="15" t="s">
        <v>139</v>
      </c>
    </row>
    <row r="100" spans="1:11" ht="104" x14ac:dyDescent="0.35">
      <c r="A100" s="8" t="s">
        <v>394</v>
      </c>
      <c r="B100" s="8">
        <v>2</v>
      </c>
      <c r="C100" s="9" t="s">
        <v>395</v>
      </c>
      <c r="D100" s="9" t="s">
        <v>396</v>
      </c>
      <c r="E100" s="9"/>
      <c r="F100" s="9"/>
      <c r="G100" s="8"/>
      <c r="H100" s="9"/>
      <c r="I100" s="10" t="e">
        <f>SUMIFS($I$4:$I$251,$J$4:$J$251,A100)</f>
        <v>#REF!</v>
      </c>
      <c r="J100" s="11" t="s">
        <v>139</v>
      </c>
      <c r="K100" s="11" t="s">
        <v>139</v>
      </c>
    </row>
    <row r="101" spans="1:11" ht="25" x14ac:dyDescent="0.35">
      <c r="A101" s="12" t="s">
        <v>397</v>
      </c>
      <c r="B101" s="12">
        <v>3</v>
      </c>
      <c r="C101" s="13" t="s">
        <v>398</v>
      </c>
      <c r="D101" s="13" t="s">
        <v>306</v>
      </c>
      <c r="E101" s="13" t="s">
        <v>307</v>
      </c>
      <c r="F101" s="13" t="s">
        <v>308</v>
      </c>
      <c r="G101" s="12" t="s">
        <v>309</v>
      </c>
      <c r="H101" s="13" t="s">
        <v>310</v>
      </c>
      <c r="I101" s="14" t="e">
        <f>SUMIFS(#REF!,#REF!,A101)</f>
        <v>#REF!</v>
      </c>
      <c r="J101" s="15" t="s">
        <v>394</v>
      </c>
      <c r="K101" s="15" t="s">
        <v>139</v>
      </c>
    </row>
    <row r="102" spans="1:11" ht="25" x14ac:dyDescent="0.35">
      <c r="A102" s="12" t="s">
        <v>399</v>
      </c>
      <c r="B102" s="12">
        <v>3</v>
      </c>
      <c r="C102" s="13" t="s">
        <v>312</v>
      </c>
      <c r="D102" s="13" t="s">
        <v>313</v>
      </c>
      <c r="E102" s="13" t="s">
        <v>38</v>
      </c>
      <c r="F102" s="13" t="s">
        <v>39</v>
      </c>
      <c r="G102" s="12" t="s">
        <v>44</v>
      </c>
      <c r="H102" s="13" t="s">
        <v>45</v>
      </c>
      <c r="I102" s="14" t="e">
        <f>SUMIFS(#REF!,#REF!,A102)</f>
        <v>#REF!</v>
      </c>
      <c r="J102" s="15" t="s">
        <v>394</v>
      </c>
      <c r="K102" s="15" t="s">
        <v>139</v>
      </c>
    </row>
    <row r="103" spans="1:11" ht="25" x14ac:dyDescent="0.35">
      <c r="A103" s="12" t="s">
        <v>400</v>
      </c>
      <c r="B103" s="12">
        <v>3</v>
      </c>
      <c r="C103" s="13" t="s">
        <v>320</v>
      </c>
      <c r="D103" s="13" t="s">
        <v>321</v>
      </c>
      <c r="E103" s="13" t="s">
        <v>317</v>
      </c>
      <c r="F103" s="13" t="s">
        <v>318</v>
      </c>
      <c r="G103" s="12" t="s">
        <v>94</v>
      </c>
      <c r="H103" s="13" t="s">
        <v>322</v>
      </c>
      <c r="I103" s="14" t="e">
        <f>SUMIFS(#REF!,#REF!,A103)</f>
        <v>#REF!</v>
      </c>
      <c r="J103" s="15" t="s">
        <v>394</v>
      </c>
      <c r="K103" s="15" t="s">
        <v>139</v>
      </c>
    </row>
    <row r="104" spans="1:11" ht="25" x14ac:dyDescent="0.35">
      <c r="A104" s="12" t="s">
        <v>401</v>
      </c>
      <c r="B104" s="12">
        <v>3</v>
      </c>
      <c r="C104" s="13" t="s">
        <v>324</v>
      </c>
      <c r="D104" s="13" t="s">
        <v>325</v>
      </c>
      <c r="E104" s="13" t="s">
        <v>38</v>
      </c>
      <c r="F104" s="13" t="s">
        <v>39</v>
      </c>
      <c r="G104" s="12" t="s">
        <v>44</v>
      </c>
      <c r="H104" s="13" t="s">
        <v>290</v>
      </c>
      <c r="I104" s="14" t="e">
        <f>SUMIFS(#REF!,#REF!,A104)</f>
        <v>#REF!</v>
      </c>
      <c r="J104" s="15" t="s">
        <v>394</v>
      </c>
      <c r="K104" s="15" t="s">
        <v>139</v>
      </c>
    </row>
    <row r="105" spans="1:11" ht="25" x14ac:dyDescent="0.35">
      <c r="A105" s="12" t="s">
        <v>402</v>
      </c>
      <c r="B105" s="12">
        <v>3</v>
      </c>
      <c r="C105" s="13" t="s">
        <v>327</v>
      </c>
      <c r="D105" s="13" t="s">
        <v>328</v>
      </c>
      <c r="E105" s="13" t="s">
        <v>403</v>
      </c>
      <c r="F105" s="13" t="s">
        <v>404</v>
      </c>
      <c r="G105" s="12" t="s">
        <v>94</v>
      </c>
      <c r="H105" s="13" t="s">
        <v>331</v>
      </c>
      <c r="I105" s="14" t="e">
        <f>SUMIFS(#REF!,#REF!,A105)</f>
        <v>#REF!</v>
      </c>
      <c r="J105" s="15" t="s">
        <v>394</v>
      </c>
      <c r="K105" s="15" t="s">
        <v>139</v>
      </c>
    </row>
    <row r="106" spans="1:11" ht="25" x14ac:dyDescent="0.35">
      <c r="A106" s="12" t="s">
        <v>405</v>
      </c>
      <c r="B106" s="12">
        <v>3</v>
      </c>
      <c r="C106" s="13" t="s">
        <v>333</v>
      </c>
      <c r="D106" s="13" t="s">
        <v>334</v>
      </c>
      <c r="E106" s="13" t="s">
        <v>335</v>
      </c>
      <c r="F106" s="13" t="s">
        <v>336</v>
      </c>
      <c r="G106" s="12" t="s">
        <v>94</v>
      </c>
      <c r="H106" s="13" t="s">
        <v>225</v>
      </c>
      <c r="I106" s="14" t="e">
        <f>SUMIFS(#REF!,#REF!,A106)</f>
        <v>#REF!</v>
      </c>
      <c r="J106" s="15" t="s">
        <v>394</v>
      </c>
      <c r="K106" s="15" t="s">
        <v>139</v>
      </c>
    </row>
    <row r="107" spans="1:11" ht="87.5" x14ac:dyDescent="0.35">
      <c r="A107" s="12" t="s">
        <v>406</v>
      </c>
      <c r="B107" s="12">
        <v>3</v>
      </c>
      <c r="C107" s="13" t="s">
        <v>338</v>
      </c>
      <c r="D107" s="13" t="s">
        <v>339</v>
      </c>
      <c r="E107" s="13" t="s">
        <v>223</v>
      </c>
      <c r="F107" s="13" t="s">
        <v>224</v>
      </c>
      <c r="G107" s="12" t="s">
        <v>94</v>
      </c>
      <c r="H107" s="13" t="s">
        <v>225</v>
      </c>
      <c r="I107" s="14" t="e">
        <f>SUMIFS(#REF!,#REF!,A107)</f>
        <v>#REF!</v>
      </c>
      <c r="J107" s="15" t="s">
        <v>394</v>
      </c>
      <c r="K107" s="15" t="s">
        <v>139</v>
      </c>
    </row>
    <row r="108" spans="1:11" ht="39" x14ac:dyDescent="0.35">
      <c r="A108" s="4" t="s">
        <v>44</v>
      </c>
      <c r="B108" s="4">
        <v>1</v>
      </c>
      <c r="C108" s="5" t="s">
        <v>407</v>
      </c>
      <c r="D108" s="5" t="s">
        <v>408</v>
      </c>
      <c r="E108" s="5"/>
      <c r="F108" s="5"/>
      <c r="G108" s="4"/>
      <c r="H108" s="5"/>
      <c r="I108" s="6" t="e">
        <f>SUMIFS($I$4:$I$251,$K$4:$K$251,A108,$B$4:$B$251,3)</f>
        <v>#REF!</v>
      </c>
      <c r="J108" s="7"/>
      <c r="K108" s="7" t="s">
        <v>44</v>
      </c>
    </row>
    <row r="109" spans="1:11" ht="26" x14ac:dyDescent="0.35">
      <c r="A109" s="8" t="s">
        <v>45</v>
      </c>
      <c r="B109" s="8">
        <v>2</v>
      </c>
      <c r="C109" s="9" t="s">
        <v>409</v>
      </c>
      <c r="D109" s="9" t="s">
        <v>410</v>
      </c>
      <c r="E109" s="9"/>
      <c r="F109" s="9"/>
      <c r="G109" s="8"/>
      <c r="H109" s="9"/>
      <c r="I109" s="10" t="e">
        <f>SUMIFS($I$4:$I$251,$J$4:$J$251,A109)</f>
        <v>#REF!</v>
      </c>
      <c r="J109" s="11" t="s">
        <v>44</v>
      </c>
      <c r="K109" s="11" t="s">
        <v>44</v>
      </c>
    </row>
    <row r="110" spans="1:11" ht="87.5" x14ac:dyDescent="0.35">
      <c r="A110" s="12" t="s">
        <v>411</v>
      </c>
      <c r="B110" s="12">
        <v>3</v>
      </c>
      <c r="C110" s="13" t="s">
        <v>412</v>
      </c>
      <c r="D110" s="13" t="s">
        <v>222</v>
      </c>
      <c r="E110" s="13" t="s">
        <v>223</v>
      </c>
      <c r="F110" s="13" t="s">
        <v>224</v>
      </c>
      <c r="G110" s="12" t="s">
        <v>94</v>
      </c>
      <c r="H110" s="13" t="s">
        <v>225</v>
      </c>
      <c r="I110" s="14" t="e">
        <f>SUMIFS(#REF!,#REF!,A110)</f>
        <v>#REF!</v>
      </c>
      <c r="J110" s="15" t="s">
        <v>45</v>
      </c>
      <c r="K110" s="15" t="s">
        <v>44</v>
      </c>
    </row>
    <row r="111" spans="1:11" ht="37.5" x14ac:dyDescent="0.35">
      <c r="A111" s="12" t="s">
        <v>413</v>
      </c>
      <c r="B111" s="12">
        <v>3</v>
      </c>
      <c r="C111" s="13" t="s">
        <v>414</v>
      </c>
      <c r="D111" s="13" t="s">
        <v>415</v>
      </c>
      <c r="E111" s="13" t="s">
        <v>229</v>
      </c>
      <c r="F111" s="13" t="s">
        <v>230</v>
      </c>
      <c r="G111" s="12" t="s">
        <v>11</v>
      </c>
      <c r="H111" s="13" t="s">
        <v>225</v>
      </c>
      <c r="I111" s="14" t="e">
        <f>SUMIFS(#REF!,#REF!,A111)</f>
        <v>#REF!</v>
      </c>
      <c r="J111" s="15" t="s">
        <v>45</v>
      </c>
      <c r="K111" s="15" t="s">
        <v>44</v>
      </c>
    </row>
    <row r="112" spans="1:11" ht="52" x14ac:dyDescent="0.35">
      <c r="A112" s="8" t="s">
        <v>416</v>
      </c>
      <c r="B112" s="8">
        <v>2</v>
      </c>
      <c r="C112" s="9" t="s">
        <v>417</v>
      </c>
      <c r="D112" s="9" t="s">
        <v>418</v>
      </c>
      <c r="E112" s="9"/>
      <c r="F112" s="9"/>
      <c r="G112" s="8"/>
      <c r="H112" s="9"/>
      <c r="I112" s="10" t="e">
        <f>SUMIFS($I$4:$I$251,$J$4:$J$251,A112)</f>
        <v>#REF!</v>
      </c>
      <c r="J112" s="11" t="s">
        <v>44</v>
      </c>
      <c r="K112" s="11" t="s">
        <v>44</v>
      </c>
    </row>
    <row r="113" spans="1:11" x14ac:dyDescent="0.35">
      <c r="A113" s="12" t="s">
        <v>419</v>
      </c>
      <c r="B113" s="12">
        <v>3</v>
      </c>
      <c r="C113" s="13" t="s">
        <v>420</v>
      </c>
      <c r="D113" s="13" t="s">
        <v>421</v>
      </c>
      <c r="E113" s="13" t="s">
        <v>422</v>
      </c>
      <c r="F113" s="13" t="s">
        <v>423</v>
      </c>
      <c r="G113" s="12" t="s">
        <v>94</v>
      </c>
      <c r="H113" s="13" t="s">
        <v>424</v>
      </c>
      <c r="I113" s="14" t="e">
        <f>SUMIFS(#REF!,#REF!,A113)</f>
        <v>#REF!</v>
      </c>
      <c r="J113" s="15" t="s">
        <v>416</v>
      </c>
      <c r="K113" s="15" t="s">
        <v>44</v>
      </c>
    </row>
    <row r="114" spans="1:11" ht="25" x14ac:dyDescent="0.35">
      <c r="A114" s="12" t="s">
        <v>425</v>
      </c>
      <c r="B114" s="12">
        <v>3</v>
      </c>
      <c r="C114" s="13" t="s">
        <v>426</v>
      </c>
      <c r="D114" s="13" t="s">
        <v>427</v>
      </c>
      <c r="E114" s="13" t="s">
        <v>422</v>
      </c>
      <c r="F114" s="13" t="s">
        <v>423</v>
      </c>
      <c r="G114" s="12" t="s">
        <v>94</v>
      </c>
      <c r="H114" s="13" t="s">
        <v>428</v>
      </c>
      <c r="I114" s="14" t="e">
        <f>SUMIFS(#REF!,#REF!,A114)</f>
        <v>#REF!</v>
      </c>
      <c r="J114" s="15" t="s">
        <v>416</v>
      </c>
      <c r="K114" s="15" t="s">
        <v>44</v>
      </c>
    </row>
    <row r="115" spans="1:11" ht="25" x14ac:dyDescent="0.35">
      <c r="A115" s="12" t="s">
        <v>429</v>
      </c>
      <c r="B115" s="12">
        <v>3</v>
      </c>
      <c r="C115" s="13" t="s">
        <v>430</v>
      </c>
      <c r="D115" s="13" t="s">
        <v>431</v>
      </c>
      <c r="E115" s="13" t="s">
        <v>422</v>
      </c>
      <c r="F115" s="13" t="s">
        <v>423</v>
      </c>
      <c r="G115" s="12" t="s">
        <v>94</v>
      </c>
      <c r="H115" s="13" t="s">
        <v>432</v>
      </c>
      <c r="I115" s="14" t="e">
        <f>SUMIFS(#REF!,#REF!,A115)</f>
        <v>#REF!</v>
      </c>
      <c r="J115" s="15" t="s">
        <v>416</v>
      </c>
      <c r="K115" s="15" t="s">
        <v>44</v>
      </c>
    </row>
    <row r="116" spans="1:11" ht="25" x14ac:dyDescent="0.35">
      <c r="A116" s="12" t="s">
        <v>433</v>
      </c>
      <c r="B116" s="12">
        <v>3</v>
      </c>
      <c r="C116" s="13" t="s">
        <v>434</v>
      </c>
      <c r="D116" s="13" t="s">
        <v>435</v>
      </c>
      <c r="E116" s="13" t="s">
        <v>105</v>
      </c>
      <c r="F116" s="13" t="s">
        <v>106</v>
      </c>
      <c r="G116" s="12" t="s">
        <v>94</v>
      </c>
      <c r="H116" s="13" t="s">
        <v>249</v>
      </c>
      <c r="I116" s="14" t="e">
        <f>SUMIFS(#REF!,#REF!,A116)</f>
        <v>#REF!</v>
      </c>
      <c r="J116" s="15" t="s">
        <v>416</v>
      </c>
      <c r="K116" s="15" t="s">
        <v>44</v>
      </c>
    </row>
    <row r="117" spans="1:11" x14ac:dyDescent="0.35">
      <c r="A117" s="12" t="s">
        <v>436</v>
      </c>
      <c r="B117" s="12">
        <v>3</v>
      </c>
      <c r="C117" s="13" t="s">
        <v>437</v>
      </c>
      <c r="D117" s="13" t="s">
        <v>438</v>
      </c>
      <c r="E117" s="13" t="s">
        <v>422</v>
      </c>
      <c r="F117" s="13" t="s">
        <v>423</v>
      </c>
      <c r="G117" s="12" t="s">
        <v>94</v>
      </c>
      <c r="H117" s="13" t="s">
        <v>439</v>
      </c>
      <c r="I117" s="14" t="e">
        <f>SUMIFS(#REF!,#REF!,A117)</f>
        <v>#REF!</v>
      </c>
      <c r="J117" s="15" t="s">
        <v>416</v>
      </c>
      <c r="K117" s="15" t="s">
        <v>44</v>
      </c>
    </row>
    <row r="118" spans="1:11" ht="25" x14ac:dyDescent="0.35">
      <c r="A118" s="12" t="s">
        <v>440</v>
      </c>
      <c r="B118" s="12">
        <v>3</v>
      </c>
      <c r="C118" s="13" t="s">
        <v>441</v>
      </c>
      <c r="D118" s="13" t="s">
        <v>442</v>
      </c>
      <c r="E118" s="13" t="s">
        <v>443</v>
      </c>
      <c r="F118" s="13" t="s">
        <v>444</v>
      </c>
      <c r="G118" s="12" t="s">
        <v>94</v>
      </c>
      <c r="H118" s="13" t="s">
        <v>432</v>
      </c>
      <c r="I118" s="14" t="e">
        <f>SUMIFS(#REF!,#REF!,A118)</f>
        <v>#REF!</v>
      </c>
      <c r="J118" s="15" t="s">
        <v>416</v>
      </c>
      <c r="K118" s="15" t="s">
        <v>44</v>
      </c>
    </row>
    <row r="119" spans="1:11" ht="25" x14ac:dyDescent="0.35">
      <c r="A119" s="12" t="s">
        <v>445</v>
      </c>
      <c r="B119" s="12">
        <v>3</v>
      </c>
      <c r="C119" s="13" t="s">
        <v>446</v>
      </c>
      <c r="D119" s="13" t="s">
        <v>447</v>
      </c>
      <c r="E119" s="13" t="s">
        <v>422</v>
      </c>
      <c r="F119" s="13" t="s">
        <v>423</v>
      </c>
      <c r="G119" s="12" t="s">
        <v>94</v>
      </c>
      <c r="H119" s="13" t="s">
        <v>448</v>
      </c>
      <c r="I119" s="14" t="e">
        <f>SUMIFS(#REF!,#REF!,A119)</f>
        <v>#REF!</v>
      </c>
      <c r="J119" s="15" t="s">
        <v>416</v>
      </c>
      <c r="K119" s="15" t="s">
        <v>44</v>
      </c>
    </row>
    <row r="120" spans="1:11" x14ac:dyDescent="0.35">
      <c r="A120" s="12" t="s">
        <v>449</v>
      </c>
      <c r="B120" s="12">
        <v>3</v>
      </c>
      <c r="C120" s="13" t="s">
        <v>450</v>
      </c>
      <c r="D120" s="13" t="s">
        <v>451</v>
      </c>
      <c r="E120" s="13" t="s">
        <v>452</v>
      </c>
      <c r="F120" s="13" t="s">
        <v>453</v>
      </c>
      <c r="G120" s="12" t="s">
        <v>94</v>
      </c>
      <c r="H120" s="13" t="s">
        <v>454</v>
      </c>
      <c r="I120" s="14" t="e">
        <f>SUMIFS(#REF!,#REF!,A120)</f>
        <v>#REF!</v>
      </c>
      <c r="J120" s="15" t="s">
        <v>416</v>
      </c>
      <c r="K120" s="15" t="s">
        <v>44</v>
      </c>
    </row>
    <row r="121" spans="1:11" x14ac:dyDescent="0.35">
      <c r="A121" s="12" t="s">
        <v>455</v>
      </c>
      <c r="B121" s="12">
        <v>3</v>
      </c>
      <c r="C121" s="13" t="s">
        <v>456</v>
      </c>
      <c r="D121" s="13" t="s">
        <v>457</v>
      </c>
      <c r="E121" s="13" t="s">
        <v>452</v>
      </c>
      <c r="F121" s="13" t="s">
        <v>453</v>
      </c>
      <c r="G121" s="12" t="s">
        <v>94</v>
      </c>
      <c r="H121" s="13" t="s">
        <v>454</v>
      </c>
      <c r="I121" s="14" t="e">
        <f>SUMIFS(#REF!,#REF!,A121)</f>
        <v>#REF!</v>
      </c>
      <c r="J121" s="15" t="s">
        <v>416</v>
      </c>
      <c r="K121" s="15" t="s">
        <v>44</v>
      </c>
    </row>
    <row r="122" spans="1:11" x14ac:dyDescent="0.35">
      <c r="A122" s="12" t="s">
        <v>458</v>
      </c>
      <c r="B122" s="12">
        <v>3</v>
      </c>
      <c r="C122" s="13" t="s">
        <v>459</v>
      </c>
      <c r="D122" s="13" t="s">
        <v>460</v>
      </c>
      <c r="E122" s="13" t="s">
        <v>422</v>
      </c>
      <c r="F122" s="13" t="s">
        <v>423</v>
      </c>
      <c r="G122" s="12" t="s">
        <v>94</v>
      </c>
      <c r="H122" s="13" t="s">
        <v>461</v>
      </c>
      <c r="I122" s="14" t="e">
        <f>SUMIFS(#REF!,#REF!,A122)</f>
        <v>#REF!</v>
      </c>
      <c r="J122" s="15" t="s">
        <v>416</v>
      </c>
      <c r="K122" s="15" t="s">
        <v>44</v>
      </c>
    </row>
    <row r="123" spans="1:11" x14ac:dyDescent="0.35">
      <c r="A123" s="8" t="s">
        <v>462</v>
      </c>
      <c r="B123" s="8">
        <v>2</v>
      </c>
      <c r="C123" s="9" t="s">
        <v>463</v>
      </c>
      <c r="D123" s="9" t="s">
        <v>464</v>
      </c>
      <c r="E123" s="9"/>
      <c r="F123" s="9"/>
      <c r="G123" s="8"/>
      <c r="H123" s="9"/>
      <c r="I123" s="10" t="e">
        <f>SUMIFS($I$4:$I$251,$J$4:$J$251,A123)</f>
        <v>#REF!</v>
      </c>
      <c r="J123" s="11" t="s">
        <v>44</v>
      </c>
      <c r="K123" s="11" t="s">
        <v>44</v>
      </c>
    </row>
    <row r="124" spans="1:11" ht="25" x14ac:dyDescent="0.35">
      <c r="A124" s="12" t="s">
        <v>465</v>
      </c>
      <c r="B124" s="12">
        <v>3</v>
      </c>
      <c r="C124" s="13" t="s">
        <v>466</v>
      </c>
      <c r="D124" s="13" t="s">
        <v>464</v>
      </c>
      <c r="E124" s="13" t="s">
        <v>467</v>
      </c>
      <c r="F124" s="13" t="s">
        <v>468</v>
      </c>
      <c r="G124" s="12" t="s">
        <v>139</v>
      </c>
      <c r="H124" s="13" t="s">
        <v>140</v>
      </c>
      <c r="I124" s="14" t="e">
        <f>SUMIFS(#REF!,#REF!,A124)</f>
        <v>#REF!</v>
      </c>
      <c r="J124" s="15" t="s">
        <v>462</v>
      </c>
      <c r="K124" s="15" t="s">
        <v>44</v>
      </c>
    </row>
    <row r="125" spans="1:11" ht="65" x14ac:dyDescent="0.35">
      <c r="A125" s="8" t="s">
        <v>469</v>
      </c>
      <c r="B125" s="8">
        <v>2</v>
      </c>
      <c r="C125" s="9" t="s">
        <v>470</v>
      </c>
      <c r="D125" s="9" t="s">
        <v>281</v>
      </c>
      <c r="E125" s="9"/>
      <c r="F125" s="9"/>
      <c r="G125" s="8"/>
      <c r="H125" s="9"/>
      <c r="I125" s="10" t="e">
        <f>SUMIFS($I$4:$I$251,$J$4:$J$251,A125)</f>
        <v>#REF!</v>
      </c>
      <c r="J125" s="11" t="s">
        <v>44</v>
      </c>
      <c r="K125" s="11" t="s">
        <v>44</v>
      </c>
    </row>
    <row r="126" spans="1:11" x14ac:dyDescent="0.35">
      <c r="A126" s="12" t="s">
        <v>471</v>
      </c>
      <c r="B126" s="12">
        <v>3</v>
      </c>
      <c r="C126" s="13" t="s">
        <v>472</v>
      </c>
      <c r="D126" s="13" t="s">
        <v>284</v>
      </c>
      <c r="E126" s="13" t="s">
        <v>285</v>
      </c>
      <c r="F126" s="13" t="s">
        <v>286</v>
      </c>
      <c r="G126" s="12" t="s">
        <v>44</v>
      </c>
      <c r="H126" s="13" t="s">
        <v>45</v>
      </c>
      <c r="I126" s="14" t="e">
        <f>SUMIFS(#REF!,#REF!,A126)</f>
        <v>#REF!</v>
      </c>
      <c r="J126" s="15" t="s">
        <v>469</v>
      </c>
      <c r="K126" s="15" t="s">
        <v>44</v>
      </c>
    </row>
    <row r="127" spans="1:11" x14ac:dyDescent="0.35">
      <c r="A127" s="12" t="s">
        <v>473</v>
      </c>
      <c r="B127" s="12">
        <v>3</v>
      </c>
      <c r="C127" s="13" t="s">
        <v>474</v>
      </c>
      <c r="D127" s="13" t="s">
        <v>289</v>
      </c>
      <c r="E127" s="13" t="s">
        <v>38</v>
      </c>
      <c r="F127" s="13" t="s">
        <v>39</v>
      </c>
      <c r="G127" s="12" t="s">
        <v>44</v>
      </c>
      <c r="H127" s="13" t="s">
        <v>290</v>
      </c>
      <c r="I127" s="14" t="e">
        <f>SUMIFS(#REF!,#REF!,A127)</f>
        <v>#REF!</v>
      </c>
      <c r="J127" s="15" t="s">
        <v>469</v>
      </c>
      <c r="K127" s="15" t="s">
        <v>44</v>
      </c>
    </row>
    <row r="128" spans="1:11" ht="25" x14ac:dyDescent="0.35">
      <c r="A128" s="12" t="s">
        <v>475</v>
      </c>
      <c r="B128" s="12">
        <v>3</v>
      </c>
      <c r="C128" s="13" t="s">
        <v>476</v>
      </c>
      <c r="D128" s="13" t="s">
        <v>293</v>
      </c>
      <c r="E128" s="13" t="s">
        <v>294</v>
      </c>
      <c r="F128" s="13" t="s">
        <v>295</v>
      </c>
      <c r="G128" s="12" t="s">
        <v>44</v>
      </c>
      <c r="H128" s="13" t="s">
        <v>296</v>
      </c>
      <c r="I128" s="14" t="e">
        <f>SUMIFS(#REF!,#REF!,A128)</f>
        <v>#REF!</v>
      </c>
      <c r="J128" s="15" t="s">
        <v>469</v>
      </c>
      <c r="K128" s="15" t="s">
        <v>44</v>
      </c>
    </row>
    <row r="129" spans="1:11" ht="25" x14ac:dyDescent="0.35">
      <c r="A129" s="12" t="s">
        <v>477</v>
      </c>
      <c r="B129" s="12">
        <v>3</v>
      </c>
      <c r="C129" s="13" t="s">
        <v>298</v>
      </c>
      <c r="D129" s="13" t="s">
        <v>299</v>
      </c>
      <c r="E129" s="13" t="s">
        <v>478</v>
      </c>
      <c r="F129" s="13" t="s">
        <v>479</v>
      </c>
      <c r="G129" s="12" t="s">
        <v>44</v>
      </c>
      <c r="H129" s="13" t="s">
        <v>290</v>
      </c>
      <c r="I129" s="14" t="e">
        <f>SUMIFS(#REF!,#REF!,A129)</f>
        <v>#REF!</v>
      </c>
      <c r="J129" s="15" t="s">
        <v>469</v>
      </c>
      <c r="K129" s="15" t="s">
        <v>44</v>
      </c>
    </row>
    <row r="130" spans="1:11" ht="104" x14ac:dyDescent="0.35">
      <c r="A130" s="8" t="s">
        <v>290</v>
      </c>
      <c r="B130" s="8">
        <v>2</v>
      </c>
      <c r="C130" s="9" t="s">
        <v>480</v>
      </c>
      <c r="D130" s="9" t="s">
        <v>396</v>
      </c>
      <c r="E130" s="9"/>
      <c r="F130" s="9"/>
      <c r="G130" s="8"/>
      <c r="H130" s="9"/>
      <c r="I130" s="10" t="e">
        <f>SUMIFS($I$4:$I$251,$J$4:$J$251,A130)</f>
        <v>#REF!</v>
      </c>
      <c r="J130" s="11" t="s">
        <v>44</v>
      </c>
      <c r="K130" s="11" t="s">
        <v>44</v>
      </c>
    </row>
    <row r="131" spans="1:11" ht="25" x14ac:dyDescent="0.35">
      <c r="A131" s="12" t="s">
        <v>481</v>
      </c>
      <c r="B131" s="12">
        <v>3</v>
      </c>
      <c r="C131" s="13" t="s">
        <v>482</v>
      </c>
      <c r="D131" s="13" t="s">
        <v>306</v>
      </c>
      <c r="E131" s="13" t="s">
        <v>307</v>
      </c>
      <c r="F131" s="13" t="s">
        <v>308</v>
      </c>
      <c r="G131" s="12" t="s">
        <v>309</v>
      </c>
      <c r="H131" s="13" t="s">
        <v>310</v>
      </c>
      <c r="I131" s="14" t="e">
        <f>SUMIFS(#REF!,#REF!,A131)</f>
        <v>#REF!</v>
      </c>
      <c r="J131" s="15" t="s">
        <v>290</v>
      </c>
      <c r="K131" s="15" t="s">
        <v>44</v>
      </c>
    </row>
    <row r="132" spans="1:11" ht="25" x14ac:dyDescent="0.35">
      <c r="A132" s="12" t="s">
        <v>483</v>
      </c>
      <c r="B132" s="12">
        <v>3</v>
      </c>
      <c r="C132" s="13" t="s">
        <v>312</v>
      </c>
      <c r="D132" s="13" t="s">
        <v>313</v>
      </c>
      <c r="E132" s="13" t="s">
        <v>38</v>
      </c>
      <c r="F132" s="13" t="s">
        <v>39</v>
      </c>
      <c r="G132" s="12" t="s">
        <v>44</v>
      </c>
      <c r="H132" s="13" t="s">
        <v>45</v>
      </c>
      <c r="I132" s="14" t="e">
        <f>SUMIFS(#REF!,#REF!,A132)</f>
        <v>#REF!</v>
      </c>
      <c r="J132" s="15" t="s">
        <v>290</v>
      </c>
      <c r="K132" s="15" t="s">
        <v>44</v>
      </c>
    </row>
    <row r="133" spans="1:11" ht="25" x14ac:dyDescent="0.35">
      <c r="A133" s="12" t="s">
        <v>484</v>
      </c>
      <c r="B133" s="12">
        <v>3</v>
      </c>
      <c r="C133" s="13" t="s">
        <v>320</v>
      </c>
      <c r="D133" s="13" t="s">
        <v>321</v>
      </c>
      <c r="E133" s="13" t="s">
        <v>317</v>
      </c>
      <c r="F133" s="13" t="s">
        <v>318</v>
      </c>
      <c r="G133" s="12" t="s">
        <v>94</v>
      </c>
      <c r="H133" s="13" t="s">
        <v>322</v>
      </c>
      <c r="I133" s="14" t="e">
        <f>SUMIFS(#REF!,#REF!,A133)</f>
        <v>#REF!</v>
      </c>
      <c r="J133" s="15" t="s">
        <v>290</v>
      </c>
      <c r="K133" s="15" t="s">
        <v>44</v>
      </c>
    </row>
    <row r="134" spans="1:11" ht="25" x14ac:dyDescent="0.35">
      <c r="A134" s="12" t="s">
        <v>485</v>
      </c>
      <c r="B134" s="12">
        <v>3</v>
      </c>
      <c r="C134" s="13" t="s">
        <v>324</v>
      </c>
      <c r="D134" s="13" t="s">
        <v>325</v>
      </c>
      <c r="E134" s="13" t="s">
        <v>38</v>
      </c>
      <c r="F134" s="13" t="s">
        <v>39</v>
      </c>
      <c r="G134" s="12" t="s">
        <v>44</v>
      </c>
      <c r="H134" s="13" t="s">
        <v>290</v>
      </c>
      <c r="I134" s="14" t="e">
        <f>SUMIFS(#REF!,#REF!,A134)</f>
        <v>#REF!</v>
      </c>
      <c r="J134" s="15" t="s">
        <v>290</v>
      </c>
      <c r="K134" s="15" t="s">
        <v>44</v>
      </c>
    </row>
    <row r="135" spans="1:11" ht="25" x14ac:dyDescent="0.35">
      <c r="A135" s="12" t="s">
        <v>486</v>
      </c>
      <c r="B135" s="12">
        <v>3</v>
      </c>
      <c r="C135" s="13" t="s">
        <v>327</v>
      </c>
      <c r="D135" s="13" t="s">
        <v>328</v>
      </c>
      <c r="E135" s="13" t="s">
        <v>487</v>
      </c>
      <c r="F135" s="13" t="s">
        <v>488</v>
      </c>
      <c r="G135" s="12" t="s">
        <v>94</v>
      </c>
      <c r="H135" s="13" t="s">
        <v>331</v>
      </c>
      <c r="I135" s="14" t="e">
        <f>SUMIFS(#REF!,#REF!,A135)</f>
        <v>#REF!</v>
      </c>
      <c r="J135" s="15" t="s">
        <v>290</v>
      </c>
      <c r="K135" s="15" t="s">
        <v>44</v>
      </c>
    </row>
    <row r="136" spans="1:11" ht="25" x14ac:dyDescent="0.35">
      <c r="A136" s="12" t="s">
        <v>489</v>
      </c>
      <c r="B136" s="12">
        <v>3</v>
      </c>
      <c r="C136" s="13" t="s">
        <v>333</v>
      </c>
      <c r="D136" s="13" t="s">
        <v>334</v>
      </c>
      <c r="E136" s="13" t="s">
        <v>335</v>
      </c>
      <c r="F136" s="13" t="s">
        <v>336</v>
      </c>
      <c r="G136" s="12" t="s">
        <v>94</v>
      </c>
      <c r="H136" s="13" t="s">
        <v>225</v>
      </c>
      <c r="I136" s="14" t="e">
        <f>SUMIFS(#REF!,#REF!,A136)</f>
        <v>#REF!</v>
      </c>
      <c r="J136" s="15" t="s">
        <v>290</v>
      </c>
      <c r="K136" s="15" t="s">
        <v>44</v>
      </c>
    </row>
    <row r="137" spans="1:11" ht="87.5" x14ac:dyDescent="0.35">
      <c r="A137" s="12" t="s">
        <v>490</v>
      </c>
      <c r="B137" s="12">
        <v>3</v>
      </c>
      <c r="C137" s="13" t="s">
        <v>338</v>
      </c>
      <c r="D137" s="13" t="s">
        <v>339</v>
      </c>
      <c r="E137" s="13" t="s">
        <v>223</v>
      </c>
      <c r="F137" s="13" t="s">
        <v>224</v>
      </c>
      <c r="G137" s="12" t="s">
        <v>94</v>
      </c>
      <c r="H137" s="13" t="s">
        <v>225</v>
      </c>
      <c r="I137" s="14" t="e">
        <f>SUMIFS(#REF!,#REF!,A137)</f>
        <v>#REF!</v>
      </c>
      <c r="J137" s="15" t="s">
        <v>290</v>
      </c>
      <c r="K137" s="15" t="s">
        <v>44</v>
      </c>
    </row>
    <row r="138" spans="1:11" ht="26" x14ac:dyDescent="0.35">
      <c r="A138" s="4" t="s">
        <v>491</v>
      </c>
      <c r="B138" s="4">
        <v>1</v>
      </c>
      <c r="C138" s="5" t="s">
        <v>492</v>
      </c>
      <c r="D138" s="5" t="s">
        <v>493</v>
      </c>
      <c r="E138" s="5"/>
      <c r="F138" s="5"/>
      <c r="G138" s="4"/>
      <c r="H138" s="5"/>
      <c r="I138" s="6" t="e">
        <f>SUMIFS($I$4:$I$251,$K$4:$K$251,A138,$B$4:$B$251,3)</f>
        <v>#REF!</v>
      </c>
      <c r="J138" s="7"/>
      <c r="K138" s="7" t="s">
        <v>491</v>
      </c>
    </row>
    <row r="139" spans="1:11" ht="26" x14ac:dyDescent="0.35">
      <c r="A139" s="8" t="s">
        <v>494</v>
      </c>
      <c r="B139" s="8">
        <v>2</v>
      </c>
      <c r="C139" s="9" t="s">
        <v>495</v>
      </c>
      <c r="D139" s="9" t="s">
        <v>496</v>
      </c>
      <c r="E139" s="9"/>
      <c r="F139" s="9"/>
      <c r="G139" s="8"/>
      <c r="H139" s="9"/>
      <c r="I139" s="10" t="e">
        <f>SUMIFS($I$4:$I$251,$J$4:$J$251,A139)</f>
        <v>#REF!</v>
      </c>
      <c r="J139" s="11" t="s">
        <v>491</v>
      </c>
      <c r="K139" s="11" t="s">
        <v>491</v>
      </c>
    </row>
    <row r="140" spans="1:11" ht="87.5" x14ac:dyDescent="0.35">
      <c r="A140" s="12" t="s">
        <v>497</v>
      </c>
      <c r="B140" s="12">
        <v>3</v>
      </c>
      <c r="C140" s="13" t="s">
        <v>498</v>
      </c>
      <c r="D140" s="13" t="s">
        <v>222</v>
      </c>
      <c r="E140" s="13" t="s">
        <v>223</v>
      </c>
      <c r="F140" s="13" t="s">
        <v>224</v>
      </c>
      <c r="G140" s="12" t="s">
        <v>94</v>
      </c>
      <c r="H140" s="13" t="s">
        <v>225</v>
      </c>
      <c r="I140" s="14" t="e">
        <f>SUMIFS(#REF!,#REF!,A140)</f>
        <v>#REF!</v>
      </c>
      <c r="J140" s="15" t="s">
        <v>494</v>
      </c>
      <c r="K140" s="15" t="s">
        <v>491</v>
      </c>
    </row>
    <row r="141" spans="1:11" ht="37.5" x14ac:dyDescent="0.35">
      <c r="A141" s="12" t="s">
        <v>499</v>
      </c>
      <c r="B141" s="12">
        <v>3</v>
      </c>
      <c r="C141" s="13" t="s">
        <v>500</v>
      </c>
      <c r="D141" s="13" t="s">
        <v>501</v>
      </c>
      <c r="E141" s="13" t="s">
        <v>229</v>
      </c>
      <c r="F141" s="13" t="s">
        <v>230</v>
      </c>
      <c r="G141" s="12" t="s">
        <v>11</v>
      </c>
      <c r="H141" s="13" t="s">
        <v>225</v>
      </c>
      <c r="I141" s="14" t="e">
        <f>SUMIFS(#REF!,#REF!,A141)</f>
        <v>#REF!</v>
      </c>
      <c r="J141" s="15" t="s">
        <v>494</v>
      </c>
      <c r="K141" s="15" t="s">
        <v>491</v>
      </c>
    </row>
    <row r="142" spans="1:11" x14ac:dyDescent="0.35">
      <c r="A142" s="8" t="s">
        <v>502</v>
      </c>
      <c r="B142" s="8">
        <v>2</v>
      </c>
      <c r="C142" s="9" t="s">
        <v>503</v>
      </c>
      <c r="D142" s="9" t="s">
        <v>504</v>
      </c>
      <c r="E142" s="9"/>
      <c r="F142" s="9"/>
      <c r="G142" s="8"/>
      <c r="H142" s="9"/>
      <c r="I142" s="10" t="e">
        <f>SUMIFS($I$4:$I$251,$J$4:$J$251,A142)</f>
        <v>#REF!</v>
      </c>
      <c r="J142" s="11" t="s">
        <v>491</v>
      </c>
      <c r="K142" s="11" t="s">
        <v>491</v>
      </c>
    </row>
    <row r="143" spans="1:11" ht="25" x14ac:dyDescent="0.35">
      <c r="A143" s="12" t="s">
        <v>505</v>
      </c>
      <c r="B143" s="12">
        <v>3</v>
      </c>
      <c r="C143" s="13" t="s">
        <v>506</v>
      </c>
      <c r="D143" s="13" t="s">
        <v>504</v>
      </c>
      <c r="E143" s="13" t="s">
        <v>507</v>
      </c>
      <c r="F143" s="13" t="s">
        <v>508</v>
      </c>
      <c r="G143" s="12" t="s">
        <v>94</v>
      </c>
      <c r="H143" s="13" t="s">
        <v>384</v>
      </c>
      <c r="I143" s="14" t="e">
        <f>SUMIFS(#REF!,#REF!,A143)</f>
        <v>#REF!</v>
      </c>
      <c r="J143" s="15" t="s">
        <v>502</v>
      </c>
      <c r="K143" s="15" t="s">
        <v>491</v>
      </c>
    </row>
    <row r="144" spans="1:11" ht="39" x14ac:dyDescent="0.35">
      <c r="A144" s="8" t="s">
        <v>509</v>
      </c>
      <c r="B144" s="8">
        <v>2</v>
      </c>
      <c r="C144" s="9" t="s">
        <v>510</v>
      </c>
      <c r="D144" s="9" t="s">
        <v>511</v>
      </c>
      <c r="E144" s="9"/>
      <c r="F144" s="9"/>
      <c r="G144" s="8"/>
      <c r="H144" s="9"/>
      <c r="I144" s="10" t="e">
        <f>SUMIFS($I$4:$I$251,$J$4:$J$251,A144)</f>
        <v>#REF!</v>
      </c>
      <c r="J144" s="11" t="s">
        <v>491</v>
      </c>
      <c r="K144" s="11" t="s">
        <v>491</v>
      </c>
    </row>
    <row r="145" spans="1:11" ht="25" x14ac:dyDescent="0.35">
      <c r="A145" s="12" t="s">
        <v>512</v>
      </c>
      <c r="B145" s="12">
        <v>3</v>
      </c>
      <c r="C145" s="13" t="s">
        <v>513</v>
      </c>
      <c r="D145" s="13" t="s">
        <v>514</v>
      </c>
      <c r="E145" s="13" t="s">
        <v>515</v>
      </c>
      <c r="F145" s="13" t="s">
        <v>516</v>
      </c>
      <c r="G145" s="12" t="s">
        <v>139</v>
      </c>
      <c r="H145" s="13" t="s">
        <v>349</v>
      </c>
      <c r="I145" s="14" t="e">
        <f>SUMIFS(#REF!,#REF!,A145)</f>
        <v>#REF!</v>
      </c>
      <c r="J145" s="15" t="s">
        <v>509</v>
      </c>
      <c r="K145" s="15" t="s">
        <v>491</v>
      </c>
    </row>
    <row r="146" spans="1:11" ht="25" x14ac:dyDescent="0.35">
      <c r="A146" s="12" t="s">
        <v>517</v>
      </c>
      <c r="B146" s="12">
        <v>3</v>
      </c>
      <c r="C146" s="13" t="s">
        <v>518</v>
      </c>
      <c r="D146" s="13" t="s">
        <v>519</v>
      </c>
      <c r="E146" s="13" t="s">
        <v>520</v>
      </c>
      <c r="F146" s="13" t="s">
        <v>521</v>
      </c>
      <c r="G146" s="12" t="s">
        <v>139</v>
      </c>
      <c r="H146" s="13" t="s">
        <v>522</v>
      </c>
      <c r="I146" s="14" t="e">
        <f>SUMIFS(#REF!,#REF!,A146)</f>
        <v>#REF!</v>
      </c>
      <c r="J146" s="15" t="s">
        <v>509</v>
      </c>
      <c r="K146" s="15" t="s">
        <v>491</v>
      </c>
    </row>
    <row r="147" spans="1:11" ht="25" x14ac:dyDescent="0.35">
      <c r="A147" s="12" t="s">
        <v>523</v>
      </c>
      <c r="B147" s="12">
        <v>3</v>
      </c>
      <c r="C147" s="13" t="s">
        <v>524</v>
      </c>
      <c r="D147" s="13" t="s">
        <v>525</v>
      </c>
      <c r="E147" s="13" t="s">
        <v>192</v>
      </c>
      <c r="F147" s="13" t="s">
        <v>193</v>
      </c>
      <c r="G147" s="12" t="s">
        <v>139</v>
      </c>
      <c r="H147" s="13" t="s">
        <v>526</v>
      </c>
      <c r="I147" s="14" t="e">
        <f>SUMIFS(#REF!,#REF!,A147)</f>
        <v>#REF!</v>
      </c>
      <c r="J147" s="15" t="s">
        <v>509</v>
      </c>
      <c r="K147" s="15" t="s">
        <v>491</v>
      </c>
    </row>
    <row r="148" spans="1:11" ht="25" x14ac:dyDescent="0.35">
      <c r="A148" s="12" t="s">
        <v>527</v>
      </c>
      <c r="B148" s="12">
        <v>3</v>
      </c>
      <c r="C148" s="13" t="s">
        <v>528</v>
      </c>
      <c r="D148" s="13" t="s">
        <v>529</v>
      </c>
      <c r="E148" s="13" t="s">
        <v>422</v>
      </c>
      <c r="F148" s="13" t="s">
        <v>423</v>
      </c>
      <c r="G148" s="12" t="s">
        <v>139</v>
      </c>
      <c r="H148" s="13" t="s">
        <v>530</v>
      </c>
      <c r="I148" s="14" t="e">
        <f>SUMIFS(#REF!,#REF!,A148)</f>
        <v>#REF!</v>
      </c>
      <c r="J148" s="15" t="s">
        <v>509</v>
      </c>
      <c r="K148" s="15" t="s">
        <v>491</v>
      </c>
    </row>
    <row r="149" spans="1:11" ht="25" x14ac:dyDescent="0.35">
      <c r="A149" s="12" t="s">
        <v>531</v>
      </c>
      <c r="B149" s="12">
        <v>3</v>
      </c>
      <c r="C149" s="13" t="s">
        <v>532</v>
      </c>
      <c r="D149" s="13" t="s">
        <v>533</v>
      </c>
      <c r="E149" s="13" t="s">
        <v>253</v>
      </c>
      <c r="F149" s="13" t="s">
        <v>254</v>
      </c>
      <c r="G149" s="12" t="s">
        <v>139</v>
      </c>
      <c r="H149" s="13" t="s">
        <v>385</v>
      </c>
      <c r="I149" s="14" t="e">
        <f>SUMIFS(#REF!,#REF!,A149)</f>
        <v>#REF!</v>
      </c>
      <c r="J149" s="15" t="s">
        <v>509</v>
      </c>
      <c r="K149" s="15" t="s">
        <v>491</v>
      </c>
    </row>
    <row r="150" spans="1:11" ht="25" x14ac:dyDescent="0.35">
      <c r="A150" s="12" t="s">
        <v>534</v>
      </c>
      <c r="B150" s="12">
        <v>3</v>
      </c>
      <c r="C150" s="13" t="s">
        <v>535</v>
      </c>
      <c r="D150" s="13" t="s">
        <v>536</v>
      </c>
      <c r="E150" s="13" t="s">
        <v>239</v>
      </c>
      <c r="F150" s="13" t="s">
        <v>240</v>
      </c>
      <c r="G150" s="12" t="s">
        <v>139</v>
      </c>
      <c r="H150" s="13" t="s">
        <v>537</v>
      </c>
      <c r="I150" s="14" t="e">
        <f>SUMIFS(#REF!,#REF!,A150)</f>
        <v>#REF!</v>
      </c>
      <c r="J150" s="15" t="s">
        <v>509</v>
      </c>
      <c r="K150" s="15" t="s">
        <v>491</v>
      </c>
    </row>
    <row r="151" spans="1:11" ht="25" x14ac:dyDescent="0.35">
      <c r="A151" s="12" t="s">
        <v>538</v>
      </c>
      <c r="B151" s="12">
        <v>3</v>
      </c>
      <c r="C151" s="13" t="s">
        <v>539</v>
      </c>
      <c r="D151" s="13" t="s">
        <v>540</v>
      </c>
      <c r="E151" s="13" t="s">
        <v>187</v>
      </c>
      <c r="F151" s="13" t="s">
        <v>188</v>
      </c>
      <c r="G151" s="12" t="s">
        <v>139</v>
      </c>
      <c r="H151" s="13" t="s">
        <v>541</v>
      </c>
      <c r="I151" s="14" t="e">
        <f>SUMIFS(#REF!,#REF!,A151)</f>
        <v>#REF!</v>
      </c>
      <c r="J151" s="15" t="s">
        <v>509</v>
      </c>
      <c r="K151" s="15" t="s">
        <v>491</v>
      </c>
    </row>
    <row r="152" spans="1:11" ht="65" x14ac:dyDescent="0.35">
      <c r="A152" s="8" t="s">
        <v>542</v>
      </c>
      <c r="B152" s="8">
        <v>2</v>
      </c>
      <c r="C152" s="9" t="s">
        <v>543</v>
      </c>
      <c r="D152" s="9" t="s">
        <v>544</v>
      </c>
      <c r="E152" s="9"/>
      <c r="F152" s="9"/>
      <c r="G152" s="8"/>
      <c r="H152" s="9"/>
      <c r="I152" s="10" t="e">
        <f>SUMIFS($I$4:$I$251,$J$4:$J$251,A152)</f>
        <v>#REF!</v>
      </c>
      <c r="J152" s="11" t="s">
        <v>491</v>
      </c>
      <c r="K152" s="11" t="s">
        <v>491</v>
      </c>
    </row>
    <row r="153" spans="1:11" ht="25" x14ac:dyDescent="0.35">
      <c r="A153" s="12" t="s">
        <v>545</v>
      </c>
      <c r="B153" s="12">
        <v>3</v>
      </c>
      <c r="C153" s="13" t="s">
        <v>546</v>
      </c>
      <c r="D153" s="13" t="s">
        <v>284</v>
      </c>
      <c r="E153" s="13" t="s">
        <v>285</v>
      </c>
      <c r="F153" s="13" t="s">
        <v>286</v>
      </c>
      <c r="G153" s="12" t="s">
        <v>44</v>
      </c>
      <c r="H153" s="13" t="s">
        <v>45</v>
      </c>
      <c r="I153" s="14" t="e">
        <f>SUMIFS(#REF!,#REF!,A153)</f>
        <v>#REF!</v>
      </c>
      <c r="J153" s="15" t="s">
        <v>542</v>
      </c>
      <c r="K153" s="15" t="s">
        <v>491</v>
      </c>
    </row>
    <row r="154" spans="1:11" ht="25" x14ac:dyDescent="0.35">
      <c r="A154" s="12" t="s">
        <v>547</v>
      </c>
      <c r="B154" s="12">
        <v>3</v>
      </c>
      <c r="C154" s="13" t="s">
        <v>548</v>
      </c>
      <c r="D154" s="13" t="s">
        <v>289</v>
      </c>
      <c r="E154" s="13" t="s">
        <v>38</v>
      </c>
      <c r="F154" s="13" t="s">
        <v>39</v>
      </c>
      <c r="G154" s="12" t="s">
        <v>44</v>
      </c>
      <c r="H154" s="13" t="s">
        <v>290</v>
      </c>
      <c r="I154" s="14" t="e">
        <f>SUMIFS(#REF!,#REF!,A154)</f>
        <v>#REF!</v>
      </c>
      <c r="J154" s="15" t="s">
        <v>542</v>
      </c>
      <c r="K154" s="15" t="s">
        <v>491</v>
      </c>
    </row>
    <row r="155" spans="1:11" ht="25" x14ac:dyDescent="0.35">
      <c r="A155" s="12" t="s">
        <v>549</v>
      </c>
      <c r="B155" s="12">
        <v>3</v>
      </c>
      <c r="C155" s="13" t="s">
        <v>550</v>
      </c>
      <c r="D155" s="13" t="s">
        <v>293</v>
      </c>
      <c r="E155" s="13" t="s">
        <v>294</v>
      </c>
      <c r="F155" s="13" t="s">
        <v>295</v>
      </c>
      <c r="G155" s="12" t="s">
        <v>44</v>
      </c>
      <c r="H155" s="13" t="s">
        <v>296</v>
      </c>
      <c r="I155" s="14" t="e">
        <f>SUMIFS(#REF!,#REF!,A155)</f>
        <v>#REF!</v>
      </c>
      <c r="J155" s="15" t="s">
        <v>542</v>
      </c>
      <c r="K155" s="15" t="s">
        <v>491</v>
      </c>
    </row>
    <row r="156" spans="1:11" ht="25" x14ac:dyDescent="0.35">
      <c r="A156" s="12" t="s">
        <v>551</v>
      </c>
      <c r="B156" s="12">
        <v>3</v>
      </c>
      <c r="C156" s="13" t="s">
        <v>298</v>
      </c>
      <c r="D156" s="13" t="s">
        <v>299</v>
      </c>
      <c r="E156" s="13" t="s">
        <v>253</v>
      </c>
      <c r="F156" s="13" t="s">
        <v>254</v>
      </c>
      <c r="G156" s="12" t="s">
        <v>44</v>
      </c>
      <c r="H156" s="13" t="s">
        <v>290</v>
      </c>
      <c r="I156" s="14" t="e">
        <f>SUMIFS(#REF!,#REF!,A156)</f>
        <v>#REF!</v>
      </c>
      <c r="J156" s="15" t="s">
        <v>542</v>
      </c>
      <c r="K156" s="15" t="s">
        <v>491</v>
      </c>
    </row>
    <row r="157" spans="1:11" ht="25" x14ac:dyDescent="0.35">
      <c r="A157" s="12" t="s">
        <v>552</v>
      </c>
      <c r="B157" s="12">
        <v>3</v>
      </c>
      <c r="C157" s="13" t="s">
        <v>553</v>
      </c>
      <c r="D157" s="13" t="s">
        <v>554</v>
      </c>
      <c r="E157" s="13" t="s">
        <v>555</v>
      </c>
      <c r="F157" s="13" t="s">
        <v>556</v>
      </c>
      <c r="G157" s="12" t="s">
        <v>139</v>
      </c>
      <c r="H157" s="13" t="s">
        <v>526</v>
      </c>
      <c r="I157" s="14" t="e">
        <f>SUMIFS(#REF!,#REF!,A157)</f>
        <v>#REF!</v>
      </c>
      <c r="J157" s="15" t="s">
        <v>542</v>
      </c>
      <c r="K157" s="15" t="s">
        <v>491</v>
      </c>
    </row>
    <row r="158" spans="1:11" ht="104" x14ac:dyDescent="0.35">
      <c r="A158" s="8" t="s">
        <v>557</v>
      </c>
      <c r="B158" s="8">
        <v>2</v>
      </c>
      <c r="C158" s="9" t="s">
        <v>558</v>
      </c>
      <c r="D158" s="9" t="s">
        <v>396</v>
      </c>
      <c r="E158" s="9"/>
      <c r="F158" s="9"/>
      <c r="G158" s="8"/>
      <c r="H158" s="9"/>
      <c r="I158" s="10" t="e">
        <f>SUMIFS($I$4:$I$251,$J$4:$J$251,A158)</f>
        <v>#REF!</v>
      </c>
      <c r="J158" s="11" t="s">
        <v>491</v>
      </c>
      <c r="K158" s="11" t="s">
        <v>491</v>
      </c>
    </row>
    <row r="159" spans="1:11" ht="25" x14ac:dyDescent="0.35">
      <c r="A159" s="12" t="s">
        <v>559</v>
      </c>
      <c r="B159" s="12">
        <v>3</v>
      </c>
      <c r="C159" s="13" t="s">
        <v>560</v>
      </c>
      <c r="D159" s="13" t="s">
        <v>306</v>
      </c>
      <c r="E159" s="13" t="s">
        <v>307</v>
      </c>
      <c r="F159" s="13" t="s">
        <v>308</v>
      </c>
      <c r="G159" s="12" t="s">
        <v>309</v>
      </c>
      <c r="H159" s="13" t="s">
        <v>310</v>
      </c>
      <c r="I159" s="14" t="e">
        <f>SUMIFS(#REF!,#REF!,A159)</f>
        <v>#REF!</v>
      </c>
      <c r="J159" s="15" t="s">
        <v>557</v>
      </c>
      <c r="K159" s="15" t="s">
        <v>491</v>
      </c>
    </row>
    <row r="160" spans="1:11" ht="25" x14ac:dyDescent="0.35">
      <c r="A160" s="12" t="s">
        <v>561</v>
      </c>
      <c r="B160" s="12">
        <v>3</v>
      </c>
      <c r="C160" s="13" t="s">
        <v>312</v>
      </c>
      <c r="D160" s="13" t="s">
        <v>313</v>
      </c>
      <c r="E160" s="13" t="s">
        <v>38</v>
      </c>
      <c r="F160" s="13" t="s">
        <v>39</v>
      </c>
      <c r="G160" s="12" t="s">
        <v>44</v>
      </c>
      <c r="H160" s="13" t="s">
        <v>45</v>
      </c>
      <c r="I160" s="14" t="e">
        <f>SUMIFS(#REF!,#REF!,A160)</f>
        <v>#REF!</v>
      </c>
      <c r="J160" s="15" t="s">
        <v>557</v>
      </c>
      <c r="K160" s="15" t="s">
        <v>491</v>
      </c>
    </row>
    <row r="161" spans="1:11" ht="25" x14ac:dyDescent="0.35">
      <c r="A161" s="12" t="s">
        <v>562</v>
      </c>
      <c r="B161" s="12">
        <v>3</v>
      </c>
      <c r="C161" s="13" t="s">
        <v>320</v>
      </c>
      <c r="D161" s="13" t="s">
        <v>321</v>
      </c>
      <c r="E161" s="13" t="s">
        <v>317</v>
      </c>
      <c r="F161" s="13" t="s">
        <v>318</v>
      </c>
      <c r="G161" s="12" t="s">
        <v>94</v>
      </c>
      <c r="H161" s="13" t="s">
        <v>322</v>
      </c>
      <c r="I161" s="14" t="e">
        <f>SUMIFS(#REF!,#REF!,A161)</f>
        <v>#REF!</v>
      </c>
      <c r="J161" s="15" t="s">
        <v>557</v>
      </c>
      <c r="K161" s="15" t="s">
        <v>491</v>
      </c>
    </row>
    <row r="162" spans="1:11" ht="25" x14ac:dyDescent="0.35">
      <c r="A162" s="12" t="s">
        <v>563</v>
      </c>
      <c r="B162" s="12">
        <v>3</v>
      </c>
      <c r="C162" s="13" t="s">
        <v>324</v>
      </c>
      <c r="D162" s="13" t="s">
        <v>325</v>
      </c>
      <c r="E162" s="13" t="s">
        <v>38</v>
      </c>
      <c r="F162" s="13" t="s">
        <v>39</v>
      </c>
      <c r="G162" s="12" t="s">
        <v>44</v>
      </c>
      <c r="H162" s="13" t="s">
        <v>290</v>
      </c>
      <c r="I162" s="14" t="e">
        <f>SUMIFS(#REF!,#REF!,A162)</f>
        <v>#REF!</v>
      </c>
      <c r="J162" s="15" t="s">
        <v>557</v>
      </c>
      <c r="K162" s="15" t="s">
        <v>491</v>
      </c>
    </row>
    <row r="163" spans="1:11" ht="37.5" x14ac:dyDescent="0.35">
      <c r="A163" s="12" t="s">
        <v>564</v>
      </c>
      <c r="B163" s="12">
        <v>3</v>
      </c>
      <c r="C163" s="13" t="s">
        <v>327</v>
      </c>
      <c r="D163" s="13" t="s">
        <v>328</v>
      </c>
      <c r="E163" s="13" t="s">
        <v>565</v>
      </c>
      <c r="F163" s="13" t="s">
        <v>566</v>
      </c>
      <c r="G163" s="12" t="s">
        <v>94</v>
      </c>
      <c r="H163" s="13" t="s">
        <v>331</v>
      </c>
      <c r="I163" s="14" t="e">
        <f>SUMIFS(#REF!,#REF!,A163)</f>
        <v>#REF!</v>
      </c>
      <c r="J163" s="15" t="s">
        <v>557</v>
      </c>
      <c r="K163" s="15" t="s">
        <v>491</v>
      </c>
    </row>
    <row r="164" spans="1:11" ht="25" x14ac:dyDescent="0.35">
      <c r="A164" s="12" t="s">
        <v>567</v>
      </c>
      <c r="B164" s="12">
        <v>3</v>
      </c>
      <c r="C164" s="13" t="s">
        <v>333</v>
      </c>
      <c r="D164" s="13" t="s">
        <v>334</v>
      </c>
      <c r="E164" s="13" t="s">
        <v>335</v>
      </c>
      <c r="F164" s="13" t="s">
        <v>336</v>
      </c>
      <c r="G164" s="12" t="s">
        <v>94</v>
      </c>
      <c r="H164" s="13" t="s">
        <v>225</v>
      </c>
      <c r="I164" s="14" t="e">
        <f>SUMIFS(#REF!,#REF!,A164)</f>
        <v>#REF!</v>
      </c>
      <c r="J164" s="15" t="s">
        <v>557</v>
      </c>
      <c r="K164" s="15" t="s">
        <v>491</v>
      </c>
    </row>
    <row r="165" spans="1:11" ht="87.5" x14ac:dyDescent="0.35">
      <c r="A165" s="12" t="s">
        <v>568</v>
      </c>
      <c r="B165" s="12">
        <v>3</v>
      </c>
      <c r="C165" s="13" t="s">
        <v>338</v>
      </c>
      <c r="D165" s="13" t="s">
        <v>339</v>
      </c>
      <c r="E165" s="13" t="s">
        <v>223</v>
      </c>
      <c r="F165" s="13" t="s">
        <v>224</v>
      </c>
      <c r="G165" s="12" t="s">
        <v>94</v>
      </c>
      <c r="H165" s="13" t="s">
        <v>225</v>
      </c>
      <c r="I165" s="14" t="e">
        <f>SUMIFS(#REF!,#REF!,A165)</f>
        <v>#REF!</v>
      </c>
      <c r="J165" s="15" t="s">
        <v>557</v>
      </c>
      <c r="K165" s="15" t="s">
        <v>491</v>
      </c>
    </row>
    <row r="166" spans="1:11" ht="39" x14ac:dyDescent="0.35">
      <c r="A166" s="4" t="s">
        <v>569</v>
      </c>
      <c r="B166" s="4">
        <v>1</v>
      </c>
      <c r="C166" s="5" t="s">
        <v>570</v>
      </c>
      <c r="D166" s="5" t="s">
        <v>571</v>
      </c>
      <c r="E166" s="5"/>
      <c r="F166" s="5"/>
      <c r="G166" s="4"/>
      <c r="H166" s="5"/>
      <c r="I166" s="6" t="e">
        <f>SUMIFS($I$4:$I$251,$K$4:$K$251,A166,$B$4:$B$251,3)</f>
        <v>#REF!</v>
      </c>
      <c r="J166" s="7"/>
      <c r="K166" s="7" t="s">
        <v>569</v>
      </c>
    </row>
    <row r="167" spans="1:11" x14ac:dyDescent="0.35">
      <c r="A167" s="8" t="s">
        <v>572</v>
      </c>
      <c r="B167" s="8">
        <v>2</v>
      </c>
      <c r="C167" s="9" t="s">
        <v>573</v>
      </c>
      <c r="D167" s="9" t="s">
        <v>222</v>
      </c>
      <c r="E167" s="9"/>
      <c r="F167" s="9"/>
      <c r="G167" s="8"/>
      <c r="H167" s="9"/>
      <c r="I167" s="10" t="e">
        <f>SUMIFS($I$4:$I$251,$J$4:$J$251,A167)</f>
        <v>#REF!</v>
      </c>
      <c r="J167" s="11" t="s">
        <v>569</v>
      </c>
      <c r="K167" s="11" t="s">
        <v>569</v>
      </c>
    </row>
    <row r="168" spans="1:11" ht="87.5" x14ac:dyDescent="0.35">
      <c r="A168" s="12" t="s">
        <v>574</v>
      </c>
      <c r="B168" s="12">
        <v>3</v>
      </c>
      <c r="C168" s="13" t="s">
        <v>575</v>
      </c>
      <c r="D168" s="13" t="s">
        <v>222</v>
      </c>
      <c r="E168" s="13" t="s">
        <v>223</v>
      </c>
      <c r="F168" s="13" t="s">
        <v>224</v>
      </c>
      <c r="G168" s="12" t="s">
        <v>94</v>
      </c>
      <c r="H168" s="13" t="s">
        <v>225</v>
      </c>
      <c r="I168" s="14" t="e">
        <f>SUMIFS(#REF!,#REF!,A168)</f>
        <v>#REF!</v>
      </c>
      <c r="J168" s="15" t="s">
        <v>572</v>
      </c>
      <c r="K168" s="15" t="s">
        <v>569</v>
      </c>
    </row>
    <row r="169" spans="1:11" ht="39" x14ac:dyDescent="0.35">
      <c r="A169" s="8" t="s">
        <v>576</v>
      </c>
      <c r="B169" s="8">
        <v>2</v>
      </c>
      <c r="C169" s="9" t="s">
        <v>577</v>
      </c>
      <c r="D169" s="9" t="s">
        <v>578</v>
      </c>
      <c r="E169" s="9"/>
      <c r="F169" s="9"/>
      <c r="G169" s="8"/>
      <c r="H169" s="9"/>
      <c r="I169" s="10" t="e">
        <f>SUMIFS($I$4:$I$251,$J$4:$J$251,A169)</f>
        <v>#REF!</v>
      </c>
      <c r="J169" s="11" t="s">
        <v>569</v>
      </c>
      <c r="K169" s="11" t="s">
        <v>569</v>
      </c>
    </row>
    <row r="170" spans="1:11" ht="25" x14ac:dyDescent="0.35">
      <c r="A170" s="12" t="s">
        <v>579</v>
      </c>
      <c r="B170" s="12">
        <v>3</v>
      </c>
      <c r="C170" s="13" t="s">
        <v>580</v>
      </c>
      <c r="D170" s="13" t="s">
        <v>581</v>
      </c>
      <c r="E170" s="13" t="s">
        <v>422</v>
      </c>
      <c r="F170" s="13" t="s">
        <v>423</v>
      </c>
      <c r="G170" s="12" t="s">
        <v>94</v>
      </c>
      <c r="H170" s="13" t="s">
        <v>582</v>
      </c>
      <c r="I170" s="14" t="e">
        <f>SUMIFS(#REF!,#REF!,A170)</f>
        <v>#REF!</v>
      </c>
      <c r="J170" s="15" t="s">
        <v>576</v>
      </c>
      <c r="K170" s="15" t="s">
        <v>569</v>
      </c>
    </row>
    <row r="171" spans="1:11" ht="25" x14ac:dyDescent="0.35">
      <c r="A171" s="12" t="s">
        <v>583</v>
      </c>
      <c r="B171" s="12">
        <v>3</v>
      </c>
      <c r="C171" s="13" t="s">
        <v>584</v>
      </c>
      <c r="D171" s="13" t="s">
        <v>585</v>
      </c>
      <c r="E171" s="13" t="s">
        <v>586</v>
      </c>
      <c r="F171" s="13" t="s">
        <v>587</v>
      </c>
      <c r="G171" s="12" t="s">
        <v>94</v>
      </c>
      <c r="H171" s="13" t="s">
        <v>588</v>
      </c>
      <c r="I171" s="14" t="e">
        <f>SUMIFS(#REF!,#REF!,A171)</f>
        <v>#REF!</v>
      </c>
      <c r="J171" s="15" t="s">
        <v>576</v>
      </c>
      <c r="K171" s="15" t="s">
        <v>569</v>
      </c>
    </row>
    <row r="172" spans="1:11" ht="25" x14ac:dyDescent="0.35">
      <c r="A172" s="12" t="s">
        <v>589</v>
      </c>
      <c r="B172" s="12">
        <v>3</v>
      </c>
      <c r="C172" s="13" t="s">
        <v>590</v>
      </c>
      <c r="D172" s="13" t="s">
        <v>591</v>
      </c>
      <c r="E172" s="13" t="s">
        <v>355</v>
      </c>
      <c r="F172" s="13" t="s">
        <v>356</v>
      </c>
      <c r="G172" s="12" t="s">
        <v>94</v>
      </c>
      <c r="H172" s="13" t="s">
        <v>582</v>
      </c>
      <c r="I172" s="14" t="e">
        <f>SUMIFS(#REF!,#REF!,A172)</f>
        <v>#REF!</v>
      </c>
      <c r="J172" s="15" t="s">
        <v>576</v>
      </c>
      <c r="K172" s="15" t="s">
        <v>569</v>
      </c>
    </row>
    <row r="173" spans="1:11" ht="25" x14ac:dyDescent="0.35">
      <c r="A173" s="12" t="s">
        <v>592</v>
      </c>
      <c r="B173" s="12">
        <v>3</v>
      </c>
      <c r="C173" s="13" t="s">
        <v>593</v>
      </c>
      <c r="D173" s="13" t="s">
        <v>594</v>
      </c>
      <c r="E173" s="13" t="s">
        <v>507</v>
      </c>
      <c r="F173" s="13" t="s">
        <v>508</v>
      </c>
      <c r="G173" s="12" t="s">
        <v>94</v>
      </c>
      <c r="H173" s="13" t="s">
        <v>155</v>
      </c>
      <c r="I173" s="14" t="e">
        <f>SUMIFS(#REF!,#REF!,A173)</f>
        <v>#REF!</v>
      </c>
      <c r="J173" s="15" t="s">
        <v>576</v>
      </c>
      <c r="K173" s="15" t="s">
        <v>569</v>
      </c>
    </row>
    <row r="174" spans="1:11" ht="25" x14ac:dyDescent="0.35">
      <c r="A174" s="12" t="s">
        <v>595</v>
      </c>
      <c r="B174" s="12">
        <v>3</v>
      </c>
      <c r="C174" s="13" t="s">
        <v>596</v>
      </c>
      <c r="D174" s="13" t="s">
        <v>597</v>
      </c>
      <c r="E174" s="13" t="s">
        <v>598</v>
      </c>
      <c r="F174" s="13" t="s">
        <v>599</v>
      </c>
      <c r="G174" s="12" t="s">
        <v>94</v>
      </c>
      <c r="H174" s="13" t="s">
        <v>600</v>
      </c>
      <c r="I174" s="14" t="e">
        <f>SUMIFS(#REF!,#REF!,A174)</f>
        <v>#REF!</v>
      </c>
      <c r="J174" s="15" t="s">
        <v>576</v>
      </c>
      <c r="K174" s="15" t="s">
        <v>569</v>
      </c>
    </row>
    <row r="175" spans="1:11" ht="65" x14ac:dyDescent="0.35">
      <c r="A175" s="8" t="s">
        <v>601</v>
      </c>
      <c r="B175" s="8">
        <v>2</v>
      </c>
      <c r="C175" s="9" t="s">
        <v>602</v>
      </c>
      <c r="D175" s="9" t="s">
        <v>281</v>
      </c>
      <c r="E175" s="9"/>
      <c r="F175" s="9"/>
      <c r="G175" s="8"/>
      <c r="H175" s="9"/>
      <c r="I175" s="10" t="e">
        <f>SUMIFS($I$4:$I$251,$J$4:$J$251,A175)</f>
        <v>#REF!</v>
      </c>
      <c r="J175" s="11" t="s">
        <v>569</v>
      </c>
      <c r="K175" s="11" t="s">
        <v>569</v>
      </c>
    </row>
    <row r="176" spans="1:11" ht="25" x14ac:dyDescent="0.35">
      <c r="A176" s="12" t="s">
        <v>603</v>
      </c>
      <c r="B176" s="12">
        <v>3</v>
      </c>
      <c r="C176" s="13" t="s">
        <v>604</v>
      </c>
      <c r="D176" s="13" t="s">
        <v>284</v>
      </c>
      <c r="E176" s="13" t="s">
        <v>285</v>
      </c>
      <c r="F176" s="13" t="s">
        <v>286</v>
      </c>
      <c r="G176" s="12" t="s">
        <v>44</v>
      </c>
      <c r="H176" s="13" t="s">
        <v>45</v>
      </c>
      <c r="I176" s="14" t="e">
        <f>SUMIFS(#REF!,#REF!,A176)</f>
        <v>#REF!</v>
      </c>
      <c r="J176" s="15" t="s">
        <v>601</v>
      </c>
      <c r="K176" s="15" t="s">
        <v>569</v>
      </c>
    </row>
    <row r="177" spans="1:11" ht="37.5" x14ac:dyDescent="0.35">
      <c r="A177" s="12" t="s">
        <v>605</v>
      </c>
      <c r="B177" s="12">
        <v>3</v>
      </c>
      <c r="C177" s="13" t="s">
        <v>606</v>
      </c>
      <c r="D177" s="13" t="s">
        <v>289</v>
      </c>
      <c r="E177" s="13" t="s">
        <v>38</v>
      </c>
      <c r="F177" s="13" t="s">
        <v>39</v>
      </c>
      <c r="G177" s="12" t="s">
        <v>44</v>
      </c>
      <c r="H177" s="13" t="s">
        <v>290</v>
      </c>
      <c r="I177" s="14" t="e">
        <f>SUMIFS(#REF!,#REF!,A177)</f>
        <v>#REF!</v>
      </c>
      <c r="J177" s="15" t="s">
        <v>601</v>
      </c>
      <c r="K177" s="15" t="s">
        <v>569</v>
      </c>
    </row>
    <row r="178" spans="1:11" ht="25" x14ac:dyDescent="0.35">
      <c r="A178" s="12" t="s">
        <v>607</v>
      </c>
      <c r="B178" s="12">
        <v>3</v>
      </c>
      <c r="C178" s="13" t="s">
        <v>608</v>
      </c>
      <c r="D178" s="13" t="s">
        <v>293</v>
      </c>
      <c r="E178" s="13" t="s">
        <v>294</v>
      </c>
      <c r="F178" s="13" t="s">
        <v>295</v>
      </c>
      <c r="G178" s="12" t="s">
        <v>44</v>
      </c>
      <c r="H178" s="13" t="s">
        <v>296</v>
      </c>
      <c r="I178" s="14" t="e">
        <f>SUMIFS(#REF!,#REF!,A178)</f>
        <v>#REF!</v>
      </c>
      <c r="J178" s="15" t="s">
        <v>601</v>
      </c>
      <c r="K178" s="15" t="s">
        <v>569</v>
      </c>
    </row>
    <row r="179" spans="1:11" ht="37.5" x14ac:dyDescent="0.35">
      <c r="A179" s="12" t="s">
        <v>609</v>
      </c>
      <c r="B179" s="12">
        <v>3</v>
      </c>
      <c r="C179" s="13" t="s">
        <v>298</v>
      </c>
      <c r="D179" s="13" t="s">
        <v>299</v>
      </c>
      <c r="E179" s="13" t="s">
        <v>610</v>
      </c>
      <c r="F179" s="13" t="s">
        <v>611</v>
      </c>
      <c r="G179" s="12" t="s">
        <v>44</v>
      </c>
      <c r="H179" s="13" t="s">
        <v>290</v>
      </c>
      <c r="I179" s="14" t="e">
        <f>SUMIFS(#REF!,#REF!,A179)</f>
        <v>#REF!</v>
      </c>
      <c r="J179" s="15" t="s">
        <v>601</v>
      </c>
      <c r="K179" s="15" t="s">
        <v>569</v>
      </c>
    </row>
    <row r="180" spans="1:11" x14ac:dyDescent="0.35">
      <c r="A180" s="8" t="s">
        <v>612</v>
      </c>
      <c r="B180" s="8">
        <v>2</v>
      </c>
      <c r="C180" s="9" t="s">
        <v>613</v>
      </c>
      <c r="D180" s="9" t="s">
        <v>614</v>
      </c>
      <c r="E180" s="9"/>
      <c r="F180" s="9"/>
      <c r="G180" s="8"/>
      <c r="H180" s="9"/>
      <c r="I180" s="10" t="e">
        <f>SUMIFS($I$4:$I$251,$J$4:$J$251,A180)</f>
        <v>#REF!</v>
      </c>
      <c r="J180" s="11" t="s">
        <v>569</v>
      </c>
      <c r="K180" s="11" t="s">
        <v>569</v>
      </c>
    </row>
    <row r="181" spans="1:11" ht="25" x14ac:dyDescent="0.35">
      <c r="A181" s="12" t="s">
        <v>615</v>
      </c>
      <c r="B181" s="12">
        <v>3</v>
      </c>
      <c r="C181" s="13" t="s">
        <v>616</v>
      </c>
      <c r="D181" s="13" t="s">
        <v>614</v>
      </c>
      <c r="E181" s="13" t="s">
        <v>179</v>
      </c>
      <c r="F181" s="13" t="s">
        <v>180</v>
      </c>
      <c r="G181" s="12" t="s">
        <v>94</v>
      </c>
      <c r="H181" s="13"/>
      <c r="I181" s="14" t="e">
        <f>SUMIFS(#REF!,#REF!,A181)</f>
        <v>#REF!</v>
      </c>
      <c r="J181" s="15" t="s">
        <v>612</v>
      </c>
      <c r="K181" s="15" t="s">
        <v>569</v>
      </c>
    </row>
    <row r="182" spans="1:11" ht="104" x14ac:dyDescent="0.35">
      <c r="A182" s="8" t="s">
        <v>617</v>
      </c>
      <c r="B182" s="8">
        <v>2</v>
      </c>
      <c r="C182" s="9" t="s">
        <v>618</v>
      </c>
      <c r="D182" s="9" t="s">
        <v>619</v>
      </c>
      <c r="E182" s="9"/>
      <c r="F182" s="9"/>
      <c r="G182" s="8"/>
      <c r="H182" s="9"/>
      <c r="I182" s="10" t="e">
        <f>SUMIFS($I$4:$I$251,$J$4:$J$251,A182)</f>
        <v>#REF!</v>
      </c>
      <c r="J182" s="11" t="s">
        <v>569</v>
      </c>
      <c r="K182" s="11" t="s">
        <v>569</v>
      </c>
    </row>
    <row r="183" spans="1:11" ht="25" x14ac:dyDescent="0.35">
      <c r="A183" s="12" t="s">
        <v>620</v>
      </c>
      <c r="B183" s="12">
        <v>3</v>
      </c>
      <c r="C183" s="13" t="s">
        <v>621</v>
      </c>
      <c r="D183" s="13" t="s">
        <v>306</v>
      </c>
      <c r="E183" s="13" t="s">
        <v>307</v>
      </c>
      <c r="F183" s="13" t="s">
        <v>308</v>
      </c>
      <c r="G183" s="12" t="s">
        <v>309</v>
      </c>
      <c r="H183" s="13" t="s">
        <v>310</v>
      </c>
      <c r="I183" s="14" t="e">
        <f>SUMIFS(#REF!,#REF!,A183)</f>
        <v>#REF!</v>
      </c>
      <c r="J183" s="15" t="s">
        <v>617</v>
      </c>
      <c r="K183" s="15" t="s">
        <v>569</v>
      </c>
    </row>
    <row r="184" spans="1:11" ht="25" x14ac:dyDescent="0.35">
      <c r="A184" s="12" t="s">
        <v>622</v>
      </c>
      <c r="B184" s="12">
        <v>3</v>
      </c>
      <c r="C184" s="13" t="s">
        <v>312</v>
      </c>
      <c r="D184" s="13" t="s">
        <v>313</v>
      </c>
      <c r="E184" s="13" t="s">
        <v>38</v>
      </c>
      <c r="F184" s="13" t="s">
        <v>39</v>
      </c>
      <c r="G184" s="12" t="s">
        <v>44</v>
      </c>
      <c r="H184" s="13" t="s">
        <v>45</v>
      </c>
      <c r="I184" s="14" t="e">
        <f>SUMIFS(#REF!,#REF!,A184)</f>
        <v>#REF!</v>
      </c>
      <c r="J184" s="15" t="s">
        <v>617</v>
      </c>
      <c r="K184" s="15" t="s">
        <v>569</v>
      </c>
    </row>
    <row r="185" spans="1:11" ht="25" x14ac:dyDescent="0.35">
      <c r="A185" s="12" t="s">
        <v>623</v>
      </c>
      <c r="B185" s="12">
        <v>3</v>
      </c>
      <c r="C185" s="13" t="s">
        <v>624</v>
      </c>
      <c r="D185" s="13" t="s">
        <v>625</v>
      </c>
      <c r="E185" s="13" t="s">
        <v>317</v>
      </c>
      <c r="F185" s="13" t="s">
        <v>318</v>
      </c>
      <c r="G185" s="12" t="s">
        <v>94</v>
      </c>
      <c r="H185" s="13" t="s">
        <v>322</v>
      </c>
      <c r="I185" s="14" t="e">
        <f>SUMIFS(#REF!,#REF!,A185)</f>
        <v>#REF!</v>
      </c>
      <c r="J185" s="15" t="s">
        <v>617</v>
      </c>
      <c r="K185" s="15" t="s">
        <v>569</v>
      </c>
    </row>
    <row r="186" spans="1:11" ht="25" x14ac:dyDescent="0.35">
      <c r="A186" s="12" t="s">
        <v>626</v>
      </c>
      <c r="B186" s="12">
        <v>3</v>
      </c>
      <c r="C186" s="13" t="s">
        <v>324</v>
      </c>
      <c r="D186" s="13" t="s">
        <v>325</v>
      </c>
      <c r="E186" s="13" t="s">
        <v>38</v>
      </c>
      <c r="F186" s="13" t="s">
        <v>39</v>
      </c>
      <c r="G186" s="12" t="s">
        <v>44</v>
      </c>
      <c r="H186" s="13" t="s">
        <v>290</v>
      </c>
      <c r="I186" s="14" t="e">
        <f>SUMIFS(#REF!,#REF!,A186)</f>
        <v>#REF!</v>
      </c>
      <c r="J186" s="15" t="s">
        <v>617</v>
      </c>
      <c r="K186" s="15" t="s">
        <v>569</v>
      </c>
    </row>
    <row r="187" spans="1:11" ht="37.5" x14ac:dyDescent="0.35">
      <c r="A187" s="12" t="s">
        <v>627</v>
      </c>
      <c r="B187" s="12">
        <v>3</v>
      </c>
      <c r="C187" s="13" t="s">
        <v>327</v>
      </c>
      <c r="D187" s="13" t="s">
        <v>328</v>
      </c>
      <c r="E187" s="13" t="s">
        <v>628</v>
      </c>
      <c r="F187" s="13" t="s">
        <v>629</v>
      </c>
      <c r="G187" s="12" t="s">
        <v>94</v>
      </c>
      <c r="H187" s="13" t="s">
        <v>331</v>
      </c>
      <c r="I187" s="14" t="e">
        <f>SUMIFS(#REF!,#REF!,A187)</f>
        <v>#REF!</v>
      </c>
      <c r="J187" s="15" t="s">
        <v>617</v>
      </c>
      <c r="K187" s="15" t="s">
        <v>569</v>
      </c>
    </row>
    <row r="188" spans="1:11" ht="25" x14ac:dyDescent="0.35">
      <c r="A188" s="12" t="s">
        <v>630</v>
      </c>
      <c r="B188" s="12">
        <v>3</v>
      </c>
      <c r="C188" s="13" t="s">
        <v>333</v>
      </c>
      <c r="D188" s="13" t="s">
        <v>334</v>
      </c>
      <c r="E188" s="13" t="s">
        <v>335</v>
      </c>
      <c r="F188" s="13" t="s">
        <v>336</v>
      </c>
      <c r="G188" s="12" t="s">
        <v>94</v>
      </c>
      <c r="H188" s="13" t="s">
        <v>225</v>
      </c>
      <c r="I188" s="14" t="e">
        <f>SUMIFS(#REF!,#REF!,A188)</f>
        <v>#REF!</v>
      </c>
      <c r="J188" s="15" t="s">
        <v>617</v>
      </c>
      <c r="K188" s="15" t="s">
        <v>569</v>
      </c>
    </row>
    <row r="189" spans="1:11" ht="87.5" x14ac:dyDescent="0.35">
      <c r="A189" s="12" t="s">
        <v>631</v>
      </c>
      <c r="B189" s="12">
        <v>3</v>
      </c>
      <c r="C189" s="13" t="s">
        <v>338</v>
      </c>
      <c r="D189" s="13" t="s">
        <v>339</v>
      </c>
      <c r="E189" s="13" t="s">
        <v>223</v>
      </c>
      <c r="F189" s="13" t="s">
        <v>224</v>
      </c>
      <c r="G189" s="12" t="s">
        <v>94</v>
      </c>
      <c r="H189" s="13" t="s">
        <v>225</v>
      </c>
      <c r="I189" s="14" t="e">
        <f>SUMIFS(#REF!,#REF!,A189)</f>
        <v>#REF!</v>
      </c>
      <c r="J189" s="15" t="s">
        <v>617</v>
      </c>
      <c r="K189" s="15" t="s">
        <v>569</v>
      </c>
    </row>
    <row r="190" spans="1:11" ht="39" x14ac:dyDescent="0.35">
      <c r="A190" s="4" t="s">
        <v>632</v>
      </c>
      <c r="B190" s="4">
        <v>1</v>
      </c>
      <c r="C190" s="5" t="s">
        <v>633</v>
      </c>
      <c r="D190" s="5"/>
      <c r="E190" s="5"/>
      <c r="F190" s="5"/>
      <c r="G190" s="4"/>
      <c r="H190" s="5"/>
      <c r="I190" s="6" t="e">
        <f>SUMIFS($I$4:$I$251,$K$4:$K$251,A190,$B$4:$B$251,3)</f>
        <v>#REF!</v>
      </c>
      <c r="J190" s="7"/>
      <c r="K190" s="7" t="s">
        <v>632</v>
      </c>
    </row>
    <row r="191" spans="1:11" x14ac:dyDescent="0.35">
      <c r="A191" s="8" t="s">
        <v>634</v>
      </c>
      <c r="B191" s="8">
        <v>2</v>
      </c>
      <c r="C191" s="9" t="s">
        <v>635</v>
      </c>
      <c r="D191" s="9" t="s">
        <v>636</v>
      </c>
      <c r="E191" s="9"/>
      <c r="F191" s="9"/>
      <c r="G191" s="8"/>
      <c r="H191" s="9"/>
      <c r="I191" s="10" t="e">
        <f>SUMIFS($I$4:$I$251,$J$4:$J$251,A191)</f>
        <v>#REF!</v>
      </c>
      <c r="J191" s="11" t="s">
        <v>632</v>
      </c>
      <c r="K191" s="11" t="s">
        <v>632</v>
      </c>
    </row>
    <row r="192" spans="1:11" ht="25" x14ac:dyDescent="0.35">
      <c r="A192" s="12" t="s">
        <v>637</v>
      </c>
      <c r="B192" s="12">
        <v>3</v>
      </c>
      <c r="C192" s="13" t="s">
        <v>638</v>
      </c>
      <c r="D192" s="13" t="s">
        <v>636</v>
      </c>
      <c r="E192" s="13" t="s">
        <v>555</v>
      </c>
      <c r="F192" s="13" t="s">
        <v>556</v>
      </c>
      <c r="G192" s="12" t="s">
        <v>139</v>
      </c>
      <c r="H192" s="13" t="s">
        <v>526</v>
      </c>
      <c r="I192" s="14" t="e">
        <f>SUMIFS(#REF!,#REF!,A192)</f>
        <v>#REF!</v>
      </c>
      <c r="J192" s="15" t="s">
        <v>634</v>
      </c>
      <c r="K192" s="15" t="s">
        <v>632</v>
      </c>
    </row>
    <row r="193" spans="1:11" x14ac:dyDescent="0.35">
      <c r="A193" s="8" t="s">
        <v>639</v>
      </c>
      <c r="B193" s="8">
        <v>2</v>
      </c>
      <c r="C193" s="9" t="s">
        <v>640</v>
      </c>
      <c r="D193" s="9" t="s">
        <v>641</v>
      </c>
      <c r="E193" s="9"/>
      <c r="F193" s="9"/>
      <c r="G193" s="8"/>
      <c r="H193" s="9"/>
      <c r="I193" s="10" t="e">
        <f>SUMIFS($I$4:$I$251,$J$4:$J$251,A193)</f>
        <v>#REF!</v>
      </c>
      <c r="J193" s="11" t="s">
        <v>632</v>
      </c>
      <c r="K193" s="11" t="s">
        <v>632</v>
      </c>
    </row>
    <row r="194" spans="1:11" ht="37.5" x14ac:dyDescent="0.35">
      <c r="A194" s="12" t="s">
        <v>642</v>
      </c>
      <c r="B194" s="12">
        <v>3</v>
      </c>
      <c r="C194" s="13" t="s">
        <v>643</v>
      </c>
      <c r="D194" s="13" t="s">
        <v>644</v>
      </c>
      <c r="E194" s="13" t="s">
        <v>645</v>
      </c>
      <c r="F194" s="13" t="s">
        <v>646</v>
      </c>
      <c r="G194" s="12" t="s">
        <v>44</v>
      </c>
      <c r="H194" s="13" t="s">
        <v>416</v>
      </c>
      <c r="I194" s="14" t="e">
        <f>SUMIFS(#REF!,#REF!,A194)</f>
        <v>#REF!</v>
      </c>
      <c r="J194" s="15" t="s">
        <v>639</v>
      </c>
      <c r="K194" s="15" t="s">
        <v>632</v>
      </c>
    </row>
    <row r="195" spans="1:11" ht="26" x14ac:dyDescent="0.35">
      <c r="A195" s="8" t="s">
        <v>647</v>
      </c>
      <c r="B195" s="8">
        <v>2</v>
      </c>
      <c r="C195" s="9" t="s">
        <v>648</v>
      </c>
      <c r="D195" s="9" t="s">
        <v>649</v>
      </c>
      <c r="E195" s="9"/>
      <c r="F195" s="9"/>
      <c r="G195" s="8"/>
      <c r="H195" s="9"/>
      <c r="I195" s="10" t="e">
        <f>SUMIFS($I$4:$I$251,$J$4:$J$251,A195)</f>
        <v>#REF!</v>
      </c>
      <c r="J195" s="11" t="s">
        <v>632</v>
      </c>
      <c r="K195" s="11" t="s">
        <v>632</v>
      </c>
    </row>
    <row r="196" spans="1:11" ht="25" x14ac:dyDescent="0.35">
      <c r="A196" s="12" t="s">
        <v>650</v>
      </c>
      <c r="B196" s="12">
        <v>3</v>
      </c>
      <c r="C196" s="13" t="s">
        <v>651</v>
      </c>
      <c r="D196" s="13" t="s">
        <v>652</v>
      </c>
      <c r="E196" s="13" t="s">
        <v>653</v>
      </c>
      <c r="F196" s="13" t="s">
        <v>654</v>
      </c>
      <c r="G196" s="12" t="s">
        <v>44</v>
      </c>
      <c r="H196" s="13" t="s">
        <v>462</v>
      </c>
      <c r="I196" s="14" t="e">
        <f>SUMIFS(#REF!,#REF!,A196)</f>
        <v>#REF!</v>
      </c>
      <c r="J196" s="15" t="s">
        <v>647</v>
      </c>
      <c r="K196" s="15" t="s">
        <v>632</v>
      </c>
    </row>
    <row r="197" spans="1:11" ht="25" x14ac:dyDescent="0.35">
      <c r="A197" s="12" t="s">
        <v>655</v>
      </c>
      <c r="B197" s="12">
        <v>3</v>
      </c>
      <c r="C197" s="13" t="s">
        <v>656</v>
      </c>
      <c r="D197" s="13" t="s">
        <v>657</v>
      </c>
      <c r="E197" s="13" t="s">
        <v>658</v>
      </c>
      <c r="F197" s="13" t="s">
        <v>659</v>
      </c>
      <c r="G197" s="12" t="s">
        <v>44</v>
      </c>
      <c r="H197" s="13" t="s">
        <v>462</v>
      </c>
      <c r="I197" s="14" t="e">
        <f>SUMIFS(#REF!,#REF!,A197)</f>
        <v>#REF!</v>
      </c>
      <c r="J197" s="15" t="s">
        <v>647</v>
      </c>
      <c r="K197" s="15" t="s">
        <v>632</v>
      </c>
    </row>
    <row r="198" spans="1:11" ht="25" x14ac:dyDescent="0.35">
      <c r="A198" s="12" t="s">
        <v>660</v>
      </c>
      <c r="B198" s="12">
        <v>3</v>
      </c>
      <c r="C198" s="13" t="s">
        <v>661</v>
      </c>
      <c r="D198" s="13" t="s">
        <v>662</v>
      </c>
      <c r="E198" s="13" t="s">
        <v>361</v>
      </c>
      <c r="F198" s="13" t="s">
        <v>362</v>
      </c>
      <c r="G198" s="12" t="s">
        <v>44</v>
      </c>
      <c r="H198" s="13" t="s">
        <v>462</v>
      </c>
      <c r="I198" s="14" t="e">
        <f>SUMIFS(#REF!,#REF!,A198)</f>
        <v>#REF!</v>
      </c>
      <c r="J198" s="15" t="s">
        <v>647</v>
      </c>
      <c r="K198" s="15" t="s">
        <v>632</v>
      </c>
    </row>
    <row r="199" spans="1:11" x14ac:dyDescent="0.35">
      <c r="A199" s="8" t="s">
        <v>663</v>
      </c>
      <c r="B199" s="8">
        <v>2</v>
      </c>
      <c r="C199" s="9" t="s">
        <v>664</v>
      </c>
      <c r="D199" s="9" t="s">
        <v>665</v>
      </c>
      <c r="E199" s="9"/>
      <c r="F199" s="9"/>
      <c r="G199" s="8"/>
      <c r="H199" s="9"/>
      <c r="I199" s="10" t="e">
        <f>SUMIFS($I$4:$I$251,$J$4:$J$251,A199)</f>
        <v>#REF!</v>
      </c>
      <c r="J199" s="11" t="s">
        <v>632</v>
      </c>
      <c r="K199" s="11" t="s">
        <v>632</v>
      </c>
    </row>
    <row r="200" spans="1:11" ht="25" x14ac:dyDescent="0.35">
      <c r="A200" s="12" t="s">
        <v>666</v>
      </c>
      <c r="B200" s="12">
        <v>3</v>
      </c>
      <c r="C200" s="13" t="s">
        <v>667</v>
      </c>
      <c r="D200" s="13" t="s">
        <v>668</v>
      </c>
      <c r="E200" s="13" t="s">
        <v>669</v>
      </c>
      <c r="F200" s="13" t="s">
        <v>670</v>
      </c>
      <c r="G200" s="12" t="s">
        <v>44</v>
      </c>
      <c r="H200" s="13" t="s">
        <v>469</v>
      </c>
      <c r="I200" s="14" t="e">
        <f>SUMIFS(#REF!,#REF!,A200)</f>
        <v>#REF!</v>
      </c>
      <c r="J200" s="15" t="s">
        <v>663</v>
      </c>
      <c r="K200" s="15" t="s">
        <v>632</v>
      </c>
    </row>
    <row r="201" spans="1:11" ht="26" x14ac:dyDescent="0.35">
      <c r="A201" s="8" t="s">
        <v>671</v>
      </c>
      <c r="B201" s="8">
        <v>2</v>
      </c>
      <c r="C201" s="9" t="s">
        <v>672</v>
      </c>
      <c r="D201" s="9" t="s">
        <v>673</v>
      </c>
      <c r="E201" s="9"/>
      <c r="F201" s="9"/>
      <c r="G201" s="8"/>
      <c r="H201" s="9"/>
      <c r="I201" s="10" t="e">
        <f>SUMIFS($I$4:$I$251,$J$4:$J$251,A201)</f>
        <v>#REF!</v>
      </c>
      <c r="J201" s="11" t="s">
        <v>632</v>
      </c>
      <c r="K201" s="11" t="s">
        <v>632</v>
      </c>
    </row>
    <row r="202" spans="1:11" ht="37.5" x14ac:dyDescent="0.35">
      <c r="A202" s="12" t="s">
        <v>674</v>
      </c>
      <c r="B202" s="12">
        <v>3</v>
      </c>
      <c r="C202" s="13" t="s">
        <v>675</v>
      </c>
      <c r="D202" s="13" t="s">
        <v>676</v>
      </c>
      <c r="E202" s="13" t="s">
        <v>610</v>
      </c>
      <c r="F202" s="13" t="s">
        <v>611</v>
      </c>
      <c r="G202" s="12" t="s">
        <v>44</v>
      </c>
      <c r="H202" s="13" t="s">
        <v>290</v>
      </c>
      <c r="I202" s="14" t="e">
        <f>SUMIFS(#REF!,#REF!,A202)</f>
        <v>#REF!</v>
      </c>
      <c r="J202" s="15" t="s">
        <v>671</v>
      </c>
      <c r="K202" s="15" t="s">
        <v>632</v>
      </c>
    </row>
    <row r="203" spans="1:11" ht="37.5" x14ac:dyDescent="0.35">
      <c r="A203" s="12" t="s">
        <v>677</v>
      </c>
      <c r="B203" s="12">
        <v>3</v>
      </c>
      <c r="C203" s="13" t="s">
        <v>678</v>
      </c>
      <c r="D203" s="13" t="s">
        <v>679</v>
      </c>
      <c r="E203" s="13" t="s">
        <v>610</v>
      </c>
      <c r="F203" s="13" t="s">
        <v>611</v>
      </c>
      <c r="G203" s="12" t="s">
        <v>44</v>
      </c>
      <c r="H203" s="13" t="s">
        <v>290</v>
      </c>
      <c r="I203" s="14" t="e">
        <f>SUMIFS(#REF!,#REF!,A203)</f>
        <v>#REF!</v>
      </c>
      <c r="J203" s="15" t="s">
        <v>671</v>
      </c>
      <c r="K203" s="15" t="s">
        <v>632</v>
      </c>
    </row>
    <row r="204" spans="1:11" x14ac:dyDescent="0.35">
      <c r="A204" s="12" t="s">
        <v>680</v>
      </c>
      <c r="B204" s="12">
        <v>3</v>
      </c>
      <c r="C204" s="13" t="s">
        <v>681</v>
      </c>
      <c r="D204" s="13" t="s">
        <v>682</v>
      </c>
      <c r="E204" s="13" t="s">
        <v>645</v>
      </c>
      <c r="F204" s="13" t="s">
        <v>646</v>
      </c>
      <c r="G204" s="12" t="s">
        <v>44</v>
      </c>
      <c r="H204" s="13" t="s">
        <v>290</v>
      </c>
      <c r="I204" s="14" t="e">
        <f>SUMIFS(#REF!,#REF!,A204)</f>
        <v>#REF!</v>
      </c>
      <c r="J204" s="15" t="s">
        <v>671</v>
      </c>
      <c r="K204" s="15" t="s">
        <v>632</v>
      </c>
    </row>
    <row r="205" spans="1:11" ht="26" x14ac:dyDescent="0.35">
      <c r="A205" s="8" t="s">
        <v>683</v>
      </c>
      <c r="B205" s="8">
        <v>2</v>
      </c>
      <c r="C205" s="9" t="s">
        <v>684</v>
      </c>
      <c r="D205" s="9" t="s">
        <v>685</v>
      </c>
      <c r="E205" s="9"/>
      <c r="F205" s="9"/>
      <c r="G205" s="8"/>
      <c r="H205" s="9"/>
      <c r="I205" s="10" t="e">
        <f>SUMIFS($I$4:$I$251,$J$4:$J$251,A205)</f>
        <v>#REF!</v>
      </c>
      <c r="J205" s="11" t="s">
        <v>632</v>
      </c>
      <c r="K205" s="11" t="s">
        <v>632</v>
      </c>
    </row>
    <row r="206" spans="1:11" ht="25" x14ac:dyDescent="0.35">
      <c r="A206" s="12" t="s">
        <v>686</v>
      </c>
      <c r="B206" s="12">
        <v>3</v>
      </c>
      <c r="C206" s="13" t="s">
        <v>687</v>
      </c>
      <c r="D206" s="13" t="s">
        <v>688</v>
      </c>
      <c r="E206" s="13" t="s">
        <v>689</v>
      </c>
      <c r="F206" s="13" t="s">
        <v>690</v>
      </c>
      <c r="G206" s="12" t="s">
        <v>44</v>
      </c>
      <c r="H206" s="13" t="s">
        <v>691</v>
      </c>
      <c r="I206" s="14" t="e">
        <f>SUMIFS(#REF!,#REF!,A206)</f>
        <v>#REF!</v>
      </c>
      <c r="J206" s="15" t="s">
        <v>683</v>
      </c>
      <c r="K206" s="15" t="s">
        <v>632</v>
      </c>
    </row>
    <row r="207" spans="1:11" ht="25" x14ac:dyDescent="0.35">
      <c r="A207" s="12" t="s">
        <v>692</v>
      </c>
      <c r="B207" s="12">
        <v>3</v>
      </c>
      <c r="C207" s="13" t="s">
        <v>693</v>
      </c>
      <c r="D207" s="13" t="s">
        <v>694</v>
      </c>
      <c r="E207" s="13" t="s">
        <v>30</v>
      </c>
      <c r="F207" s="13" t="s">
        <v>31</v>
      </c>
      <c r="G207" s="12" t="s">
        <v>44</v>
      </c>
      <c r="H207" s="13" t="s">
        <v>691</v>
      </c>
      <c r="I207" s="14" t="e">
        <f>SUMIFS(#REF!,#REF!,A207)</f>
        <v>#REF!</v>
      </c>
      <c r="J207" s="15" t="s">
        <v>683</v>
      </c>
      <c r="K207" s="15" t="s">
        <v>632</v>
      </c>
    </row>
    <row r="208" spans="1:11" ht="25" x14ac:dyDescent="0.35">
      <c r="A208" s="12" t="s">
        <v>695</v>
      </c>
      <c r="B208" s="12">
        <v>3</v>
      </c>
      <c r="C208" s="13" t="s">
        <v>696</v>
      </c>
      <c r="D208" s="13" t="s">
        <v>697</v>
      </c>
      <c r="E208" s="13" t="s">
        <v>698</v>
      </c>
      <c r="F208" s="13" t="s">
        <v>699</v>
      </c>
      <c r="G208" s="12" t="s">
        <v>44</v>
      </c>
      <c r="H208" s="13" t="s">
        <v>691</v>
      </c>
      <c r="I208" s="14" t="e">
        <f>SUMIFS(#REF!,#REF!,A208)</f>
        <v>#REF!</v>
      </c>
      <c r="J208" s="15" t="s">
        <v>683</v>
      </c>
      <c r="K208" s="15" t="s">
        <v>632</v>
      </c>
    </row>
    <row r="209" spans="1:11" ht="37.5" x14ac:dyDescent="0.35">
      <c r="A209" s="12" t="s">
        <v>700</v>
      </c>
      <c r="B209" s="12">
        <v>3</v>
      </c>
      <c r="C209" s="13" t="s">
        <v>701</v>
      </c>
      <c r="D209" s="13" t="s">
        <v>702</v>
      </c>
      <c r="E209" s="13" t="s">
        <v>610</v>
      </c>
      <c r="F209" s="13" t="s">
        <v>611</v>
      </c>
      <c r="G209" s="12" t="s">
        <v>44</v>
      </c>
      <c r="H209" s="13" t="s">
        <v>290</v>
      </c>
      <c r="I209" s="14" t="e">
        <f>SUMIFS(#REF!,#REF!,A209)</f>
        <v>#REF!</v>
      </c>
      <c r="J209" s="15" t="s">
        <v>683</v>
      </c>
      <c r="K209" s="15" t="s">
        <v>632</v>
      </c>
    </row>
    <row r="210" spans="1:11" x14ac:dyDescent="0.35">
      <c r="A210" s="12" t="s">
        <v>703</v>
      </c>
      <c r="B210" s="12">
        <v>3</v>
      </c>
      <c r="C210" s="13" t="s">
        <v>704</v>
      </c>
      <c r="D210" s="13" t="s">
        <v>705</v>
      </c>
      <c r="E210" s="13" t="s">
        <v>38</v>
      </c>
      <c r="F210" s="13" t="s">
        <v>39</v>
      </c>
      <c r="G210" s="12" t="s">
        <v>44</v>
      </c>
      <c r="H210" s="13" t="s">
        <v>290</v>
      </c>
      <c r="I210" s="14" t="e">
        <f>SUMIFS(#REF!,#REF!,A210)</f>
        <v>#REF!</v>
      </c>
      <c r="J210" s="15" t="s">
        <v>683</v>
      </c>
      <c r="K210" s="15" t="s">
        <v>632</v>
      </c>
    </row>
    <row r="211" spans="1:11" ht="25" x14ac:dyDescent="0.35">
      <c r="A211" s="12" t="s">
        <v>706</v>
      </c>
      <c r="B211" s="12">
        <v>3</v>
      </c>
      <c r="C211" s="13" t="s">
        <v>707</v>
      </c>
      <c r="D211" s="13" t="s">
        <v>708</v>
      </c>
      <c r="E211" s="13" t="s">
        <v>709</v>
      </c>
      <c r="F211" s="13" t="s">
        <v>710</v>
      </c>
      <c r="G211" s="12" t="s">
        <v>44</v>
      </c>
      <c r="H211" s="13" t="s">
        <v>711</v>
      </c>
      <c r="I211" s="14" t="e">
        <f>SUMIFS(#REF!,#REF!,A211)</f>
        <v>#REF!</v>
      </c>
      <c r="J211" s="15" t="s">
        <v>683</v>
      </c>
      <c r="K211" s="15" t="s">
        <v>632</v>
      </c>
    </row>
    <row r="212" spans="1:11" x14ac:dyDescent="0.35">
      <c r="A212" s="12" t="s">
        <v>712</v>
      </c>
      <c r="B212" s="12">
        <v>3</v>
      </c>
      <c r="C212" s="13" t="s">
        <v>713</v>
      </c>
      <c r="D212" s="13" t="s">
        <v>714</v>
      </c>
      <c r="E212" s="13" t="s">
        <v>715</v>
      </c>
      <c r="F212" s="13" t="s">
        <v>716</v>
      </c>
      <c r="G212" s="12" t="s">
        <v>44</v>
      </c>
      <c r="H212" s="13" t="s">
        <v>711</v>
      </c>
      <c r="I212" s="14" t="e">
        <f>SUMIFS(#REF!,#REF!,A212)</f>
        <v>#REF!</v>
      </c>
      <c r="J212" s="15" t="s">
        <v>683</v>
      </c>
      <c r="K212" s="15" t="s">
        <v>632</v>
      </c>
    </row>
    <row r="213" spans="1:11" ht="39" x14ac:dyDescent="0.35">
      <c r="A213" s="8" t="s">
        <v>717</v>
      </c>
      <c r="B213" s="8">
        <v>2</v>
      </c>
      <c r="C213" s="9" t="s">
        <v>718</v>
      </c>
      <c r="D213" s="9" t="s">
        <v>719</v>
      </c>
      <c r="E213" s="9"/>
      <c r="F213" s="9"/>
      <c r="G213" s="8"/>
      <c r="H213" s="9"/>
      <c r="I213" s="10" t="e">
        <f>SUMIFS($I$4:$I$251,$J$4:$J$251,A213)</f>
        <v>#REF!</v>
      </c>
      <c r="J213" s="11" t="s">
        <v>632</v>
      </c>
      <c r="K213" s="11" t="s">
        <v>632</v>
      </c>
    </row>
    <row r="214" spans="1:11" x14ac:dyDescent="0.35">
      <c r="A214" s="12" t="s">
        <v>720</v>
      </c>
      <c r="B214" s="12">
        <v>3</v>
      </c>
      <c r="C214" s="13" t="s">
        <v>721</v>
      </c>
      <c r="D214" s="13" t="s">
        <v>722</v>
      </c>
      <c r="E214" s="13" t="s">
        <v>723</v>
      </c>
      <c r="F214" s="13" t="s">
        <v>724</v>
      </c>
      <c r="G214" s="12" t="s">
        <v>44</v>
      </c>
      <c r="H214" s="13" t="s">
        <v>725</v>
      </c>
      <c r="I214" s="14" t="e">
        <f>SUMIFS(#REF!,#REF!,A214)</f>
        <v>#REF!</v>
      </c>
      <c r="J214" s="15" t="s">
        <v>717</v>
      </c>
      <c r="K214" s="15" t="s">
        <v>632</v>
      </c>
    </row>
    <row r="215" spans="1:11" x14ac:dyDescent="0.35">
      <c r="A215" s="12" t="s">
        <v>726</v>
      </c>
      <c r="B215" s="12">
        <v>3</v>
      </c>
      <c r="C215" s="13" t="s">
        <v>727</v>
      </c>
      <c r="D215" s="13" t="s">
        <v>728</v>
      </c>
      <c r="E215" s="13" t="s">
        <v>285</v>
      </c>
      <c r="F215" s="13" t="s">
        <v>286</v>
      </c>
      <c r="G215" s="12" t="s">
        <v>44</v>
      </c>
      <c r="H215" s="13" t="s">
        <v>725</v>
      </c>
      <c r="I215" s="14" t="e">
        <f>SUMIFS(#REF!,#REF!,A215)</f>
        <v>#REF!</v>
      </c>
      <c r="J215" s="15" t="s">
        <v>717</v>
      </c>
      <c r="K215" s="15" t="s">
        <v>632</v>
      </c>
    </row>
    <row r="216" spans="1:11" x14ac:dyDescent="0.35">
      <c r="A216" s="8" t="s">
        <v>729</v>
      </c>
      <c r="B216" s="8">
        <v>2</v>
      </c>
      <c r="C216" s="9" t="s">
        <v>730</v>
      </c>
      <c r="D216" s="9" t="s">
        <v>731</v>
      </c>
      <c r="E216" s="9"/>
      <c r="F216" s="9"/>
      <c r="G216" s="8"/>
      <c r="H216" s="9"/>
      <c r="I216" s="10" t="e">
        <f>SUMIFS($I$4:$I$251,$J$4:$J$251,A216)</f>
        <v>#REF!</v>
      </c>
      <c r="J216" s="11" t="s">
        <v>632</v>
      </c>
      <c r="K216" s="11" t="s">
        <v>632</v>
      </c>
    </row>
    <row r="217" spans="1:11" ht="25" x14ac:dyDescent="0.35">
      <c r="A217" s="12" t="s">
        <v>732</v>
      </c>
      <c r="B217" s="12">
        <v>3</v>
      </c>
      <c r="C217" s="13" t="s">
        <v>733</v>
      </c>
      <c r="D217" s="13" t="s">
        <v>731</v>
      </c>
      <c r="E217" s="13" t="s">
        <v>734</v>
      </c>
      <c r="F217" s="13" t="s">
        <v>735</v>
      </c>
      <c r="G217" s="12" t="s">
        <v>44</v>
      </c>
      <c r="H217" s="13" t="s">
        <v>691</v>
      </c>
      <c r="I217" s="14" t="e">
        <f>SUMIFS(#REF!,#REF!,A217)</f>
        <v>#REF!</v>
      </c>
      <c r="J217" s="15" t="s">
        <v>729</v>
      </c>
      <c r="K217" s="15" t="s">
        <v>632</v>
      </c>
    </row>
    <row r="218" spans="1:11" x14ac:dyDescent="0.35">
      <c r="A218" s="4" t="s">
        <v>736</v>
      </c>
      <c r="B218" s="4">
        <v>1</v>
      </c>
      <c r="C218" s="5" t="s">
        <v>737</v>
      </c>
      <c r="D218" s="5"/>
      <c r="E218" s="5"/>
      <c r="F218" s="5"/>
      <c r="G218" s="4"/>
      <c r="H218" s="5"/>
      <c r="I218" s="6" t="e">
        <f>SUMIFS($I$4:$I$251,$K$4:$K$251,A218,$B$4:$B$251,3)</f>
        <v>#REF!</v>
      </c>
      <c r="J218" s="7"/>
      <c r="K218" s="7" t="s">
        <v>736</v>
      </c>
    </row>
    <row r="219" spans="1:11" ht="26" x14ac:dyDescent="0.35">
      <c r="A219" s="8" t="s">
        <v>738</v>
      </c>
      <c r="B219" s="8">
        <v>2</v>
      </c>
      <c r="C219" s="9" t="s">
        <v>739</v>
      </c>
      <c r="D219" s="9" t="s">
        <v>740</v>
      </c>
      <c r="E219" s="9"/>
      <c r="F219" s="9"/>
      <c r="G219" s="8"/>
      <c r="H219" s="9"/>
      <c r="I219" s="10" t="e">
        <f>SUMIFS($I$4:$I$251,$J$4:$J$251,A219)</f>
        <v>#REF!</v>
      </c>
      <c r="J219" s="11" t="s">
        <v>736</v>
      </c>
      <c r="K219" s="11" t="s">
        <v>736</v>
      </c>
    </row>
    <row r="220" spans="1:11" ht="25" x14ac:dyDescent="0.35">
      <c r="A220" s="12" t="s">
        <v>741</v>
      </c>
      <c r="B220" s="12">
        <v>3</v>
      </c>
      <c r="C220" s="13" t="s">
        <v>742</v>
      </c>
      <c r="D220" s="13" t="s">
        <v>743</v>
      </c>
      <c r="E220" s="13" t="s">
        <v>179</v>
      </c>
      <c r="F220" s="13" t="s">
        <v>180</v>
      </c>
      <c r="G220" s="12" t="s">
        <v>94</v>
      </c>
      <c r="H220" s="13"/>
      <c r="I220" s="14" t="e">
        <f>SUMIFS(#REF!,#REF!,A220)</f>
        <v>#REF!</v>
      </c>
      <c r="J220" s="15" t="s">
        <v>738</v>
      </c>
      <c r="K220" s="15" t="s">
        <v>736</v>
      </c>
    </row>
    <row r="221" spans="1:11" ht="25" x14ac:dyDescent="0.35">
      <c r="A221" s="12" t="s">
        <v>744</v>
      </c>
      <c r="B221" s="12">
        <v>3</v>
      </c>
      <c r="C221" s="13" t="s">
        <v>745</v>
      </c>
      <c r="D221" s="13" t="s">
        <v>746</v>
      </c>
      <c r="E221" s="13" t="s">
        <v>179</v>
      </c>
      <c r="F221" s="13" t="s">
        <v>180</v>
      </c>
      <c r="G221" s="12" t="s">
        <v>94</v>
      </c>
      <c r="H221" s="13"/>
      <c r="I221" s="14" t="e">
        <f>SUMIFS(#REF!,#REF!,A221)</f>
        <v>#REF!</v>
      </c>
      <c r="J221" s="15" t="s">
        <v>738</v>
      </c>
      <c r="K221" s="15" t="s">
        <v>736</v>
      </c>
    </row>
    <row r="222" spans="1:11" ht="25" x14ac:dyDescent="0.35">
      <c r="A222" s="12" t="s">
        <v>747</v>
      </c>
      <c r="B222" s="12">
        <v>3</v>
      </c>
      <c r="C222" s="13" t="s">
        <v>748</v>
      </c>
      <c r="D222" s="13" t="s">
        <v>749</v>
      </c>
      <c r="E222" s="13" t="s">
        <v>99</v>
      </c>
      <c r="F222" s="13" t="s">
        <v>100</v>
      </c>
      <c r="G222" s="12" t="s">
        <v>94</v>
      </c>
      <c r="H222" s="13"/>
      <c r="I222" s="14" t="e">
        <f>SUMIFS(#REF!,#REF!,A222)</f>
        <v>#REF!</v>
      </c>
      <c r="J222" s="15" t="s">
        <v>738</v>
      </c>
      <c r="K222" s="15" t="s">
        <v>736</v>
      </c>
    </row>
    <row r="223" spans="1:11" x14ac:dyDescent="0.35">
      <c r="A223" s="8" t="s">
        <v>750</v>
      </c>
      <c r="B223" s="8">
        <v>2</v>
      </c>
      <c r="C223" s="9" t="s">
        <v>751</v>
      </c>
      <c r="D223" s="9" t="s">
        <v>752</v>
      </c>
      <c r="E223" s="9"/>
      <c r="F223" s="9"/>
      <c r="G223" s="8"/>
      <c r="H223" s="9"/>
      <c r="I223" s="10" t="e">
        <f>SUMIFS($I$4:$I$251,$J$4:$J$251,A223)</f>
        <v>#REF!</v>
      </c>
      <c r="J223" s="11" t="s">
        <v>736</v>
      </c>
      <c r="K223" s="11" t="s">
        <v>736</v>
      </c>
    </row>
    <row r="224" spans="1:11" ht="25" x14ac:dyDescent="0.35">
      <c r="A224" s="12" t="s">
        <v>753</v>
      </c>
      <c r="B224" s="12">
        <v>3</v>
      </c>
      <c r="C224" s="13" t="s">
        <v>754</v>
      </c>
      <c r="D224" s="13" t="s">
        <v>755</v>
      </c>
      <c r="E224" s="13" t="s">
        <v>756</v>
      </c>
      <c r="F224" s="13" t="s">
        <v>757</v>
      </c>
      <c r="G224" s="12" t="s">
        <v>491</v>
      </c>
      <c r="H224" s="13" t="s">
        <v>542</v>
      </c>
      <c r="I224" s="14" t="e">
        <f>SUMIFS(#REF!,#REF!,A224)</f>
        <v>#REF!</v>
      </c>
      <c r="J224" s="15" t="s">
        <v>750</v>
      </c>
      <c r="K224" s="15" t="s">
        <v>736</v>
      </c>
    </row>
    <row r="225" spans="1:11" ht="25" x14ac:dyDescent="0.35">
      <c r="A225" s="12" t="s">
        <v>758</v>
      </c>
      <c r="B225" s="12">
        <v>3</v>
      </c>
      <c r="C225" s="13" t="s">
        <v>759</v>
      </c>
      <c r="D225" s="13" t="s">
        <v>760</v>
      </c>
      <c r="E225" s="13" t="s">
        <v>761</v>
      </c>
      <c r="F225" s="13" t="s">
        <v>762</v>
      </c>
      <c r="G225" s="12" t="s">
        <v>491</v>
      </c>
      <c r="H225" s="13" t="s">
        <v>542</v>
      </c>
      <c r="I225" s="14" t="e">
        <f>SUMIFS(#REF!,#REF!,A225)</f>
        <v>#REF!</v>
      </c>
      <c r="J225" s="15" t="s">
        <v>750</v>
      </c>
      <c r="K225" s="15" t="s">
        <v>736</v>
      </c>
    </row>
    <row r="226" spans="1:11" ht="25" x14ac:dyDescent="0.35">
      <c r="A226" s="12" t="s">
        <v>763</v>
      </c>
      <c r="B226" s="12">
        <v>3</v>
      </c>
      <c r="C226" s="13" t="s">
        <v>764</v>
      </c>
      <c r="D226" s="13" t="s">
        <v>765</v>
      </c>
      <c r="E226" s="13" t="s">
        <v>766</v>
      </c>
      <c r="F226" s="13" t="s">
        <v>767</v>
      </c>
      <c r="G226" s="12" t="s">
        <v>491</v>
      </c>
      <c r="H226" s="13" t="s">
        <v>542</v>
      </c>
      <c r="I226" s="14" t="e">
        <f>SUMIFS(#REF!,#REF!,A226)</f>
        <v>#REF!</v>
      </c>
      <c r="J226" s="15" t="s">
        <v>750</v>
      </c>
      <c r="K226" s="15" t="s">
        <v>736</v>
      </c>
    </row>
    <row r="227" spans="1:11" ht="25" x14ac:dyDescent="0.35">
      <c r="A227" s="12" t="s">
        <v>768</v>
      </c>
      <c r="B227" s="12">
        <v>3</v>
      </c>
      <c r="C227" s="13" t="s">
        <v>769</v>
      </c>
      <c r="D227" s="13" t="s">
        <v>770</v>
      </c>
      <c r="E227" s="13" t="s">
        <v>771</v>
      </c>
      <c r="F227" s="13" t="s">
        <v>772</v>
      </c>
      <c r="G227" s="12" t="s">
        <v>491</v>
      </c>
      <c r="H227" s="13" t="s">
        <v>494</v>
      </c>
      <c r="I227" s="14" t="e">
        <f>SUMIFS(#REF!,#REF!,A227)</f>
        <v>#REF!</v>
      </c>
      <c r="J227" s="15" t="s">
        <v>750</v>
      </c>
      <c r="K227" s="15" t="s">
        <v>736</v>
      </c>
    </row>
    <row r="228" spans="1:11" ht="37.5" x14ac:dyDescent="0.35">
      <c r="A228" s="12" t="s">
        <v>773</v>
      </c>
      <c r="B228" s="12">
        <v>3</v>
      </c>
      <c r="C228" s="13" t="s">
        <v>774</v>
      </c>
      <c r="D228" s="13" t="s">
        <v>775</v>
      </c>
      <c r="E228" s="13" t="s">
        <v>776</v>
      </c>
      <c r="F228" s="13" t="s">
        <v>777</v>
      </c>
      <c r="G228" s="12" t="s">
        <v>491</v>
      </c>
      <c r="H228" s="13" t="s">
        <v>542</v>
      </c>
      <c r="I228" s="14" t="e">
        <f>SUMIFS(#REF!,#REF!,A228)</f>
        <v>#REF!</v>
      </c>
      <c r="J228" s="15" t="s">
        <v>750</v>
      </c>
      <c r="K228" s="15" t="s">
        <v>736</v>
      </c>
    </row>
    <row r="229" spans="1:11" x14ac:dyDescent="0.35">
      <c r="A229" s="8" t="s">
        <v>778</v>
      </c>
      <c r="B229" s="8">
        <v>2</v>
      </c>
      <c r="C229" s="9" t="s">
        <v>779</v>
      </c>
      <c r="D229" s="9" t="s">
        <v>780</v>
      </c>
      <c r="E229" s="9"/>
      <c r="F229" s="9"/>
      <c r="G229" s="8"/>
      <c r="H229" s="9"/>
      <c r="I229" s="10" t="e">
        <f>SUMIFS($I$4:$I$251,$J$4:$J$251,A229)</f>
        <v>#REF!</v>
      </c>
      <c r="J229" s="11" t="s">
        <v>736</v>
      </c>
      <c r="K229" s="11" t="s">
        <v>736</v>
      </c>
    </row>
    <row r="230" spans="1:11" ht="50" x14ac:dyDescent="0.35">
      <c r="A230" s="12" t="s">
        <v>781</v>
      </c>
      <c r="B230" s="12">
        <v>3</v>
      </c>
      <c r="C230" s="13" t="s">
        <v>782</v>
      </c>
      <c r="D230" s="13" t="s">
        <v>783</v>
      </c>
      <c r="E230" s="13" t="s">
        <v>784</v>
      </c>
      <c r="F230" s="13" t="s">
        <v>785</v>
      </c>
      <c r="G230" s="12" t="s">
        <v>491</v>
      </c>
      <c r="H230" s="13" t="s">
        <v>542</v>
      </c>
      <c r="I230" s="14" t="e">
        <f>SUMIFS(#REF!,#REF!,A230)</f>
        <v>#REF!</v>
      </c>
      <c r="J230" s="15" t="s">
        <v>778</v>
      </c>
      <c r="K230" s="15" t="s">
        <v>736</v>
      </c>
    </row>
    <row r="231" spans="1:11" ht="50" x14ac:dyDescent="0.35">
      <c r="A231" s="12" t="s">
        <v>786</v>
      </c>
      <c r="B231" s="12">
        <v>3</v>
      </c>
      <c r="C231" s="13" t="s">
        <v>787</v>
      </c>
      <c r="D231" s="13" t="s">
        <v>788</v>
      </c>
      <c r="E231" s="13" t="s">
        <v>789</v>
      </c>
      <c r="F231" s="13" t="s">
        <v>790</v>
      </c>
      <c r="G231" s="12" t="s">
        <v>491</v>
      </c>
      <c r="H231" s="13" t="s">
        <v>557</v>
      </c>
      <c r="I231" s="14" t="e">
        <f>SUMIFS(#REF!,#REF!,A231)</f>
        <v>#REF!</v>
      </c>
      <c r="J231" s="15" t="s">
        <v>778</v>
      </c>
      <c r="K231" s="15" t="s">
        <v>736</v>
      </c>
    </row>
    <row r="232" spans="1:11" x14ac:dyDescent="0.35">
      <c r="A232" s="4" t="s">
        <v>791</v>
      </c>
      <c r="B232" s="4">
        <v>1</v>
      </c>
      <c r="C232" s="5" t="s">
        <v>792</v>
      </c>
      <c r="D232" s="5"/>
      <c r="E232" s="5"/>
      <c r="F232" s="5"/>
      <c r="G232" s="4"/>
      <c r="H232" s="5"/>
      <c r="I232" s="6" t="e">
        <f>SUMIFS($I$4:$I$251,$K$4:$K$251,A232,$B$4:$B$251,3)</f>
        <v>#REF!</v>
      </c>
      <c r="J232" s="7"/>
      <c r="K232" s="7" t="s">
        <v>791</v>
      </c>
    </row>
    <row r="233" spans="1:11" ht="39" x14ac:dyDescent="0.35">
      <c r="A233" s="8" t="s">
        <v>793</v>
      </c>
      <c r="B233" s="8">
        <v>2</v>
      </c>
      <c r="C233" s="9" t="s">
        <v>794</v>
      </c>
      <c r="D233" s="9" t="s">
        <v>795</v>
      </c>
      <c r="E233" s="9"/>
      <c r="F233" s="9"/>
      <c r="G233" s="8"/>
      <c r="H233" s="9"/>
      <c r="I233" s="10" t="e">
        <f>SUMIFS($I$4:$I$251,$J$4:$J$251,A233)</f>
        <v>#REF!</v>
      </c>
      <c r="J233" s="11" t="s">
        <v>791</v>
      </c>
      <c r="K233" s="11" t="s">
        <v>791</v>
      </c>
    </row>
    <row r="234" spans="1:11" ht="25" x14ac:dyDescent="0.35">
      <c r="A234" s="12" t="s">
        <v>796</v>
      </c>
      <c r="B234" s="12">
        <v>3</v>
      </c>
      <c r="C234" s="13" t="s">
        <v>797</v>
      </c>
      <c r="D234" s="13" t="s">
        <v>798</v>
      </c>
      <c r="E234" s="13" t="s">
        <v>799</v>
      </c>
      <c r="F234" s="13" t="s">
        <v>800</v>
      </c>
      <c r="G234" s="12" t="s">
        <v>491</v>
      </c>
      <c r="H234" s="13" t="s">
        <v>502</v>
      </c>
      <c r="I234" s="14" t="e">
        <f>SUMIFS(#REF!,#REF!,A234)</f>
        <v>#REF!</v>
      </c>
      <c r="J234" s="15" t="s">
        <v>793</v>
      </c>
      <c r="K234" s="15" t="s">
        <v>791</v>
      </c>
    </row>
    <row r="235" spans="1:11" ht="25" x14ac:dyDescent="0.35">
      <c r="A235" s="12" t="s">
        <v>801</v>
      </c>
      <c r="B235" s="12">
        <v>3</v>
      </c>
      <c r="C235" s="13" t="s">
        <v>802</v>
      </c>
      <c r="D235" s="13" t="s">
        <v>803</v>
      </c>
      <c r="E235" s="13" t="s">
        <v>128</v>
      </c>
      <c r="F235" s="13" t="s">
        <v>129</v>
      </c>
      <c r="G235" s="12" t="s">
        <v>491</v>
      </c>
      <c r="H235" s="13" t="s">
        <v>502</v>
      </c>
      <c r="I235" s="14" t="e">
        <f>SUMIFS(#REF!,#REF!,A235)</f>
        <v>#REF!</v>
      </c>
      <c r="J235" s="15" t="s">
        <v>793</v>
      </c>
      <c r="K235" s="15" t="s">
        <v>791</v>
      </c>
    </row>
    <row r="236" spans="1:11" ht="25" x14ac:dyDescent="0.35">
      <c r="A236" s="12" t="s">
        <v>804</v>
      </c>
      <c r="B236" s="12">
        <v>3</v>
      </c>
      <c r="C236" s="13" t="s">
        <v>805</v>
      </c>
      <c r="D236" s="13" t="s">
        <v>806</v>
      </c>
      <c r="E236" s="13" t="s">
        <v>645</v>
      </c>
      <c r="F236" s="13" t="s">
        <v>646</v>
      </c>
      <c r="G236" s="12" t="s">
        <v>491</v>
      </c>
      <c r="H236" s="13" t="s">
        <v>502</v>
      </c>
      <c r="I236" s="14" t="e">
        <f>SUMIFS(#REF!,#REF!,A236)</f>
        <v>#REF!</v>
      </c>
      <c r="J236" s="15" t="s">
        <v>793</v>
      </c>
      <c r="K236" s="15" t="s">
        <v>791</v>
      </c>
    </row>
    <row r="237" spans="1:11" ht="25" x14ac:dyDescent="0.35">
      <c r="A237" s="12" t="s">
        <v>807</v>
      </c>
      <c r="B237" s="12">
        <v>3</v>
      </c>
      <c r="C237" s="13" t="s">
        <v>808</v>
      </c>
      <c r="D237" s="13" t="s">
        <v>809</v>
      </c>
      <c r="E237" s="13" t="s">
        <v>62</v>
      </c>
      <c r="F237" s="13" t="s">
        <v>63</v>
      </c>
      <c r="G237" s="12" t="s">
        <v>491</v>
      </c>
      <c r="H237" s="13" t="s">
        <v>502</v>
      </c>
      <c r="I237" s="14" t="e">
        <f>SUMIFS(#REF!,#REF!,A237)</f>
        <v>#REF!</v>
      </c>
      <c r="J237" s="15" t="s">
        <v>793</v>
      </c>
      <c r="K237" s="15" t="s">
        <v>791</v>
      </c>
    </row>
    <row r="238" spans="1:11" ht="25" x14ac:dyDescent="0.35">
      <c r="A238" s="12" t="s">
        <v>810</v>
      </c>
      <c r="B238" s="12">
        <v>3</v>
      </c>
      <c r="C238" s="13" t="s">
        <v>811</v>
      </c>
      <c r="D238" s="13" t="s">
        <v>812</v>
      </c>
      <c r="E238" s="13" t="s">
        <v>813</v>
      </c>
      <c r="F238" s="13" t="s">
        <v>814</v>
      </c>
      <c r="G238" s="12" t="s">
        <v>491</v>
      </c>
      <c r="H238" s="13" t="s">
        <v>502</v>
      </c>
      <c r="I238" s="14" t="e">
        <f>SUMIFS(#REF!,#REF!,A238)</f>
        <v>#REF!</v>
      </c>
      <c r="J238" s="15" t="s">
        <v>793</v>
      </c>
      <c r="K238" s="15" t="s">
        <v>791</v>
      </c>
    </row>
    <row r="239" spans="1:11" ht="25" x14ac:dyDescent="0.35">
      <c r="A239" s="12" t="s">
        <v>815</v>
      </c>
      <c r="B239" s="12">
        <v>3</v>
      </c>
      <c r="C239" s="13" t="s">
        <v>816</v>
      </c>
      <c r="D239" s="13" t="s">
        <v>817</v>
      </c>
      <c r="E239" s="13" t="s">
        <v>179</v>
      </c>
      <c r="F239" s="13" t="s">
        <v>180</v>
      </c>
      <c r="G239" s="12" t="s">
        <v>491</v>
      </c>
      <c r="H239" s="13" t="s">
        <v>502</v>
      </c>
      <c r="I239" s="14" t="e">
        <f>SUMIFS(#REF!,#REF!,A239)</f>
        <v>#REF!</v>
      </c>
      <c r="J239" s="15" t="s">
        <v>793</v>
      </c>
      <c r="K239" s="15" t="s">
        <v>791</v>
      </c>
    </row>
    <row r="240" spans="1:11" ht="25" x14ac:dyDescent="0.35">
      <c r="A240" s="12" t="s">
        <v>818</v>
      </c>
      <c r="B240" s="12">
        <v>3</v>
      </c>
      <c r="C240" s="13" t="s">
        <v>819</v>
      </c>
      <c r="D240" s="13" t="s">
        <v>820</v>
      </c>
      <c r="E240" s="13" t="s">
        <v>723</v>
      </c>
      <c r="F240" s="13" t="s">
        <v>724</v>
      </c>
      <c r="G240" s="12" t="s">
        <v>491</v>
      </c>
      <c r="H240" s="13" t="s">
        <v>502</v>
      </c>
      <c r="I240" s="14" t="e">
        <f>SUMIFS(#REF!,#REF!,A240)</f>
        <v>#REF!</v>
      </c>
      <c r="J240" s="15" t="s">
        <v>793</v>
      </c>
      <c r="K240" s="15" t="s">
        <v>791</v>
      </c>
    </row>
    <row r="241" spans="1:11" ht="26" x14ac:dyDescent="0.35">
      <c r="A241" s="8" t="s">
        <v>821</v>
      </c>
      <c r="B241" s="8">
        <v>2</v>
      </c>
      <c r="C241" s="9" t="s">
        <v>822</v>
      </c>
      <c r="D241" s="9" t="s">
        <v>823</v>
      </c>
      <c r="E241" s="9"/>
      <c r="F241" s="9"/>
      <c r="G241" s="8"/>
      <c r="H241" s="9"/>
      <c r="I241" s="10" t="e">
        <f>SUMIFS($I$4:$I$251,$J$4:$J$251,A241)</f>
        <v>#REF!</v>
      </c>
      <c r="J241" s="11" t="s">
        <v>791</v>
      </c>
      <c r="K241" s="11" t="s">
        <v>791</v>
      </c>
    </row>
    <row r="242" spans="1:11" ht="25" x14ac:dyDescent="0.35">
      <c r="A242" s="12" t="s">
        <v>824</v>
      </c>
      <c r="B242" s="12">
        <v>3</v>
      </c>
      <c r="C242" s="13" t="s">
        <v>825</v>
      </c>
      <c r="D242" s="13" t="s">
        <v>826</v>
      </c>
      <c r="E242" s="13" t="s">
        <v>128</v>
      </c>
      <c r="F242" s="13" t="s">
        <v>129</v>
      </c>
      <c r="G242" s="12" t="s">
        <v>491</v>
      </c>
      <c r="H242" s="13" t="s">
        <v>827</v>
      </c>
      <c r="I242" s="14" t="e">
        <f>SUMIFS(#REF!,#REF!,A242)</f>
        <v>#REF!</v>
      </c>
      <c r="J242" s="15" t="s">
        <v>821</v>
      </c>
      <c r="K242" s="15" t="s">
        <v>791</v>
      </c>
    </row>
    <row r="243" spans="1:11" ht="25" x14ac:dyDescent="0.35">
      <c r="A243" s="12" t="s">
        <v>828</v>
      </c>
      <c r="B243" s="12">
        <v>3</v>
      </c>
      <c r="C243" s="13" t="s">
        <v>829</v>
      </c>
      <c r="D243" s="13" t="s">
        <v>830</v>
      </c>
      <c r="E243" s="13" t="s">
        <v>831</v>
      </c>
      <c r="F243" s="13" t="s">
        <v>832</v>
      </c>
      <c r="G243" s="12" t="s">
        <v>491</v>
      </c>
      <c r="H243" s="13" t="s">
        <v>509</v>
      </c>
      <c r="I243" s="14" t="e">
        <f>SUMIFS(#REF!,#REF!,A243)</f>
        <v>#REF!</v>
      </c>
      <c r="J243" s="15" t="s">
        <v>821</v>
      </c>
      <c r="K243" s="15" t="s">
        <v>791</v>
      </c>
    </row>
    <row r="244" spans="1:11" ht="26" x14ac:dyDescent="0.35">
      <c r="A244" s="8" t="s">
        <v>833</v>
      </c>
      <c r="B244" s="8">
        <v>2</v>
      </c>
      <c r="C244" s="9" t="s">
        <v>834</v>
      </c>
      <c r="D244" s="9" t="s">
        <v>835</v>
      </c>
      <c r="E244" s="9"/>
      <c r="F244" s="9"/>
      <c r="G244" s="8"/>
      <c r="H244" s="9"/>
      <c r="I244" s="10" t="e">
        <f>SUMIFS($I$4:$I$251,$J$4:$J$251,A244)</f>
        <v>#REF!</v>
      </c>
      <c r="J244" s="11" t="s">
        <v>791</v>
      </c>
      <c r="K244" s="11" t="s">
        <v>791</v>
      </c>
    </row>
    <row r="245" spans="1:11" ht="25" x14ac:dyDescent="0.35">
      <c r="A245" s="12" t="s">
        <v>836</v>
      </c>
      <c r="B245" s="12">
        <v>3</v>
      </c>
      <c r="C245" s="13" t="s">
        <v>837</v>
      </c>
      <c r="D245" s="13" t="s">
        <v>838</v>
      </c>
      <c r="E245" s="13" t="s">
        <v>839</v>
      </c>
      <c r="F245" s="13" t="s">
        <v>840</v>
      </c>
      <c r="G245" s="12" t="s">
        <v>491</v>
      </c>
      <c r="H245" s="13" t="s">
        <v>557</v>
      </c>
      <c r="I245" s="14" t="e">
        <f>SUMIFS(#REF!,#REF!,A245)</f>
        <v>#REF!</v>
      </c>
      <c r="J245" s="15" t="s">
        <v>833</v>
      </c>
      <c r="K245" s="15" t="s">
        <v>791</v>
      </c>
    </row>
    <row r="246" spans="1:11" ht="25" x14ac:dyDescent="0.35">
      <c r="A246" s="12" t="s">
        <v>841</v>
      </c>
      <c r="B246" s="12">
        <v>3</v>
      </c>
      <c r="C246" s="13" t="s">
        <v>842</v>
      </c>
      <c r="D246" s="13" t="s">
        <v>843</v>
      </c>
      <c r="E246" s="13" t="s">
        <v>844</v>
      </c>
      <c r="F246" s="13" t="s">
        <v>845</v>
      </c>
      <c r="G246" s="12" t="s">
        <v>491</v>
      </c>
      <c r="H246" s="13" t="s">
        <v>331</v>
      </c>
      <c r="I246" s="14" t="e">
        <f>SUMIFS(#REF!,#REF!,A246)</f>
        <v>#REF!</v>
      </c>
      <c r="J246" s="15" t="s">
        <v>833</v>
      </c>
      <c r="K246" s="15" t="s">
        <v>791</v>
      </c>
    </row>
    <row r="247" spans="1:11" x14ac:dyDescent="0.35">
      <c r="A247" s="4" t="s">
        <v>846</v>
      </c>
      <c r="B247" s="4">
        <v>1</v>
      </c>
      <c r="C247" s="5" t="s">
        <v>847</v>
      </c>
      <c r="D247" s="5"/>
      <c r="E247" s="5"/>
      <c r="F247" s="5"/>
      <c r="G247" s="4"/>
      <c r="H247" s="5"/>
      <c r="I247" s="6" t="e">
        <f>SUMIFS($I$4:$I$251,$K$4:$K$251,A247,$B$4:$B$251,3)</f>
        <v>#REF!</v>
      </c>
      <c r="J247" s="7"/>
      <c r="K247" s="7" t="s">
        <v>846</v>
      </c>
    </row>
    <row r="248" spans="1:11" x14ac:dyDescent="0.35">
      <c r="A248" s="8" t="s">
        <v>848</v>
      </c>
      <c r="B248" s="8">
        <v>2</v>
      </c>
      <c r="C248" s="9" t="s">
        <v>849</v>
      </c>
      <c r="D248" s="9" t="s">
        <v>850</v>
      </c>
      <c r="E248" s="9"/>
      <c r="F248" s="9"/>
      <c r="G248" s="8"/>
      <c r="H248" s="9"/>
      <c r="I248" s="10" t="e">
        <f>SUMIFS($I$4:$I$251,$J$4:$J$251,A248)</f>
        <v>#REF!</v>
      </c>
      <c r="J248" s="11" t="s">
        <v>846</v>
      </c>
      <c r="K248" s="11" t="s">
        <v>846</v>
      </c>
    </row>
    <row r="249" spans="1:11" ht="25" x14ac:dyDescent="0.35">
      <c r="A249" s="12" t="s">
        <v>851</v>
      </c>
      <c r="B249" s="12">
        <v>3</v>
      </c>
      <c r="C249" s="13" t="s">
        <v>852</v>
      </c>
      <c r="D249" s="13" t="s">
        <v>853</v>
      </c>
      <c r="E249" s="13" t="s">
        <v>30</v>
      </c>
      <c r="F249" s="13" t="s">
        <v>31</v>
      </c>
      <c r="G249" s="12" t="s">
        <v>94</v>
      </c>
      <c r="H249" s="13" t="s">
        <v>225</v>
      </c>
      <c r="I249" s="14" t="e">
        <f>SUMIFS(#REF!,#REF!,A249)</f>
        <v>#REF!</v>
      </c>
      <c r="J249" s="15" t="s">
        <v>848</v>
      </c>
      <c r="K249" s="15" t="s">
        <v>846</v>
      </c>
    </row>
    <row r="250" spans="1:11" ht="25" x14ac:dyDescent="0.35">
      <c r="A250" s="12" t="s">
        <v>854</v>
      </c>
      <c r="B250" s="12">
        <v>3</v>
      </c>
      <c r="C250" s="13" t="s">
        <v>855</v>
      </c>
      <c r="D250" s="13" t="s">
        <v>856</v>
      </c>
      <c r="E250" s="13" t="s">
        <v>30</v>
      </c>
      <c r="F250" s="13" t="s">
        <v>31</v>
      </c>
      <c r="G250" s="12" t="s">
        <v>94</v>
      </c>
      <c r="H250" s="13" t="s">
        <v>225</v>
      </c>
      <c r="I250" s="14" t="e">
        <f>SUMIFS(#REF!,#REF!,A250)</f>
        <v>#REF!</v>
      </c>
      <c r="J250" s="15" t="s">
        <v>848</v>
      </c>
      <c r="K250" s="15" t="s">
        <v>846</v>
      </c>
    </row>
    <row r="251" spans="1:11" x14ac:dyDescent="0.35">
      <c r="A251" s="12" t="s">
        <v>857</v>
      </c>
      <c r="B251" s="12">
        <v>3</v>
      </c>
      <c r="C251" s="13" t="s">
        <v>858</v>
      </c>
      <c r="D251" s="13" t="s">
        <v>859</v>
      </c>
      <c r="E251" s="13" t="s">
        <v>30</v>
      </c>
      <c r="F251" s="13" t="s">
        <v>31</v>
      </c>
      <c r="G251" s="12" t="s">
        <v>94</v>
      </c>
      <c r="H251" s="13" t="s">
        <v>225</v>
      </c>
      <c r="I251" s="14" t="e">
        <f>SUMIFS(#REF!,#REF!,A251)</f>
        <v>#REF!</v>
      </c>
      <c r="J251" s="15" t="s">
        <v>848</v>
      </c>
      <c r="K251" s="15" t="s">
        <v>846</v>
      </c>
    </row>
    <row r="252" spans="1:11" x14ac:dyDescent="0.35">
      <c r="A252" s="16"/>
      <c r="B252" s="16"/>
      <c r="C252" s="16" t="s">
        <v>860</v>
      </c>
      <c r="D252" s="16"/>
      <c r="E252" s="16"/>
      <c r="F252" s="16"/>
      <c r="G252" s="16"/>
      <c r="H252" s="16"/>
      <c r="I252" s="17" t="e">
        <f>SUMIFS($I$4:$I$251,$B$4:$B$251,3)</f>
        <v>#REF!</v>
      </c>
      <c r="J252" s="16"/>
      <c r="K252" s="16"/>
    </row>
  </sheetData>
  <autoFilter ref="A3:K251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4350-5504-491D-BC03-3045374E6BE6}">
  <dimension ref="A1:E15"/>
  <sheetViews>
    <sheetView workbookViewId="0">
      <selection activeCell="E18" sqref="E18"/>
    </sheetView>
  </sheetViews>
  <sheetFormatPr defaultColWidth="8.6328125" defaultRowHeight="14.5" x14ac:dyDescent="0.35"/>
  <cols>
    <col min="1" max="1" width="6" customWidth="1"/>
    <col min="2" max="2" width="24" customWidth="1"/>
    <col min="3" max="3" width="8" customWidth="1"/>
    <col min="4" max="4" width="12" customWidth="1"/>
    <col min="5" max="5" width="80" customWidth="1"/>
  </cols>
  <sheetData>
    <row r="1" spans="1:5" ht="15.5" x14ac:dyDescent="0.35">
      <c r="A1" s="18" t="s">
        <v>880</v>
      </c>
    </row>
    <row r="3" spans="1:5" x14ac:dyDescent="0.35">
      <c r="A3" s="2" t="s">
        <v>865</v>
      </c>
      <c r="B3" s="2" t="s">
        <v>866</v>
      </c>
      <c r="C3" s="2" t="s">
        <v>864</v>
      </c>
      <c r="D3" s="2" t="s">
        <v>861</v>
      </c>
      <c r="E3" s="2" t="s">
        <v>867</v>
      </c>
    </row>
    <row r="4" spans="1:5" x14ac:dyDescent="0.35">
      <c r="A4" s="12">
        <v>1</v>
      </c>
      <c r="B4" s="13" t="s">
        <v>30</v>
      </c>
      <c r="C4" s="12" t="s">
        <v>31</v>
      </c>
      <c r="D4" s="12" t="s">
        <v>31</v>
      </c>
      <c r="E4" s="13" t="s">
        <v>868</v>
      </c>
    </row>
    <row r="5" spans="1:5" x14ac:dyDescent="0.35">
      <c r="A5" s="12">
        <v>2</v>
      </c>
      <c r="B5" s="13" t="s">
        <v>113</v>
      </c>
      <c r="C5" s="12" t="s">
        <v>114</v>
      </c>
      <c r="D5" s="12" t="s">
        <v>114</v>
      </c>
      <c r="E5" s="13" t="s">
        <v>869</v>
      </c>
    </row>
    <row r="6" spans="1:5" x14ac:dyDescent="0.35">
      <c r="A6" s="12">
        <v>3</v>
      </c>
      <c r="B6" s="13" t="s">
        <v>62</v>
      </c>
      <c r="C6" s="12" t="s">
        <v>63</v>
      </c>
      <c r="D6" s="12" t="s">
        <v>63</v>
      </c>
      <c r="E6" s="13" t="s">
        <v>870</v>
      </c>
    </row>
    <row r="7" spans="1:5" x14ac:dyDescent="0.35">
      <c r="A7" s="12">
        <v>4</v>
      </c>
      <c r="B7" s="13" t="s">
        <v>159</v>
      </c>
      <c r="C7" s="12" t="s">
        <v>160</v>
      </c>
      <c r="D7" s="12" t="s">
        <v>160</v>
      </c>
      <c r="E7" s="13" t="s">
        <v>871</v>
      </c>
    </row>
    <row r="8" spans="1:5" x14ac:dyDescent="0.35">
      <c r="A8" s="12">
        <v>5</v>
      </c>
      <c r="B8" s="13" t="s">
        <v>239</v>
      </c>
      <c r="C8" s="12" t="s">
        <v>240</v>
      </c>
      <c r="D8" s="12" t="s">
        <v>863</v>
      </c>
      <c r="E8" s="13" t="s">
        <v>872</v>
      </c>
    </row>
    <row r="9" spans="1:5" x14ac:dyDescent="0.35">
      <c r="A9" s="12">
        <v>6</v>
      </c>
      <c r="B9" s="13" t="s">
        <v>355</v>
      </c>
      <c r="C9" s="12" t="s">
        <v>356</v>
      </c>
      <c r="D9" s="12" t="s">
        <v>863</v>
      </c>
      <c r="E9" s="13" t="s">
        <v>873</v>
      </c>
    </row>
    <row r="10" spans="1:5" x14ac:dyDescent="0.35">
      <c r="A10" s="12">
        <v>7</v>
      </c>
      <c r="B10" s="13" t="s">
        <v>422</v>
      </c>
      <c r="C10" s="12" t="s">
        <v>423</v>
      </c>
      <c r="D10" s="12" t="s">
        <v>863</v>
      </c>
      <c r="E10" s="13" t="s">
        <v>874</v>
      </c>
    </row>
    <row r="11" spans="1:5" x14ac:dyDescent="0.35">
      <c r="A11" s="12">
        <v>8</v>
      </c>
      <c r="B11" s="13" t="s">
        <v>38</v>
      </c>
      <c r="C11" s="12" t="s">
        <v>39</v>
      </c>
      <c r="D11" s="12" t="s">
        <v>862</v>
      </c>
      <c r="E11" s="13" t="s">
        <v>875</v>
      </c>
    </row>
    <row r="12" spans="1:5" x14ac:dyDescent="0.35">
      <c r="A12" s="12">
        <v>9</v>
      </c>
      <c r="B12" s="13" t="s">
        <v>285</v>
      </c>
      <c r="C12" s="12" t="s">
        <v>286</v>
      </c>
      <c r="D12" s="12" t="s">
        <v>862</v>
      </c>
      <c r="E12" s="13" t="s">
        <v>876</v>
      </c>
    </row>
    <row r="13" spans="1:5" x14ac:dyDescent="0.35">
      <c r="A13" s="12">
        <v>10</v>
      </c>
      <c r="B13" s="13" t="s">
        <v>179</v>
      </c>
      <c r="C13" s="12" t="s">
        <v>180</v>
      </c>
      <c r="D13" s="12" t="s">
        <v>180</v>
      </c>
      <c r="E13" s="13" t="s">
        <v>877</v>
      </c>
    </row>
    <row r="14" spans="1:5" x14ac:dyDescent="0.35">
      <c r="A14" s="12">
        <v>11</v>
      </c>
      <c r="B14" s="13" t="s">
        <v>586</v>
      </c>
      <c r="C14" s="12" t="s">
        <v>587</v>
      </c>
      <c r="D14" s="12" t="s">
        <v>863</v>
      </c>
      <c r="E14" s="13" t="s">
        <v>878</v>
      </c>
    </row>
    <row r="15" spans="1:5" x14ac:dyDescent="0.35">
      <c r="A15" s="12">
        <v>12</v>
      </c>
      <c r="B15" s="13" t="s">
        <v>105</v>
      </c>
      <c r="C15" s="12" t="s">
        <v>106</v>
      </c>
      <c r="D15" s="12" t="s">
        <v>863</v>
      </c>
      <c r="E15" s="13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Phương Nguyễn</cp:lastModifiedBy>
  <cp:revision>0</cp:revision>
  <dcterms:created xsi:type="dcterms:W3CDTF">2026-10-24T11:58:10Z</dcterms:created>
  <dcterms:modified xsi:type="dcterms:W3CDTF">2026-10-24T12:04:38Z</dcterms:modified>
  <dc:language>en-US</dc:language>
</cp:coreProperties>
</file>