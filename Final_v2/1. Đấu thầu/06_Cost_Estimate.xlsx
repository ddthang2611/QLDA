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st Summary &amp; Dashboard" sheetId="1" state="visible" r:id="rId1"/>
    <sheet xmlns:r="http://schemas.openxmlformats.org/officeDocument/2006/relationships" name="Detailed Estimate" sheetId="2" state="visible" r:id="rId2"/>
    <sheet xmlns:r="http://schemas.openxmlformats.org/officeDocument/2006/relationships" name="Resource &amp; Rates" sheetId="3" state="visible" r:id="rId3"/>
    <sheet xmlns:r="http://schemas.openxmlformats.org/officeDocument/2006/relationships" name="Payment Schedu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&quot;VNĐ&quot;"/>
    <numFmt numFmtId="165" formatCode="#,##0 &quot;Giờ&quot;"/>
    <numFmt numFmtId="166" formatCode="0.0%"/>
  </numFmts>
  <fonts count="12">
    <font>
      <name val="Calibri"/>
      <color theme="1"/>
      <sz val="11"/>
      <scheme val="minor"/>
    </font>
    <font>
      <name val="Calibri"/>
      <b val="1"/>
      <color rgb="FF1F4E79"/>
      <sz val="15"/>
    </font>
    <font>
      <name val="Calibri"/>
      <i val="1"/>
      <color rgb="FF595959"/>
      <sz val="10"/>
    </font>
    <font>
      <name val="Calibri"/>
      <b val="1"/>
      <color theme="1"/>
      <sz val="10"/>
    </font>
    <font>
      <name val="Calibri"/>
      <b val="1"/>
      <color rgb="FFFFFFFF"/>
      <sz val="10"/>
    </font>
    <font>
      <name val="Calibri"/>
      <color theme="1"/>
      <sz val="11"/>
    </font>
    <font/>
    <font>
      <name val="Calibri"/>
      <color theme="1"/>
      <sz val="10"/>
    </font>
    <font>
      <name val="Calibri"/>
      <b val="1"/>
      <color rgb="FF1F4E79"/>
      <sz val="10"/>
    </font>
    <font>
      <name val="Calibri"/>
      <b val="1"/>
      <sz val="11"/>
    </font>
    <font>
      <name val="Calibri"/>
      <sz val="10"/>
    </font>
    <font>
      <name val="Calibri"/>
      <b val="1"/>
      <sz val="10"/>
    </font>
  </fonts>
  <fills count="8">
    <fill>
      <patternFill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B4C6E7"/>
        <bgColor rgb="FFB4C6E7"/>
      </patternFill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</fills>
  <borders count="13">
    <border/>
    <border>
      <left/>
      <right/>
      <top/>
      <bottom/>
    </border>
    <border>
      <left/>
      <top/>
      <bottom/>
    </border>
    <border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right/>
      <top/>
      <bottom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double">
        <color rgb="00808080"/>
      </bottom>
    </border>
  </borders>
  <cellStyleXfs count="1">
    <xf numFmtId="0" fontId="0" fillId="0" borderId="0"/>
  </cellStyleXfs>
  <cellXfs count="7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3" fillId="3" borderId="2" pivotButton="0" quotePrefix="0" xfId="0"/>
    <xf numFmtId="0" fontId="6" fillId="0" borderId="3" pivotButton="0" quotePrefix="0" xfId="0"/>
    <xf numFmtId="0" fontId="6" fillId="0" borderId="5" pivotButton="0" quotePrefix="0" xfId="0"/>
    <xf numFmtId="0" fontId="7" fillId="0" borderId="4" applyAlignment="1" pivotButton="0" quotePrefix="0" xfId="0">
      <alignment horizontal="center"/>
    </xf>
    <xf numFmtId="164" fontId="3" fillId="4" borderId="1" pivotButton="0" quotePrefix="0" xfId="0"/>
    <xf numFmtId="0" fontId="7" fillId="0" borderId="4" pivotButton="0" quotePrefix="0" xfId="0"/>
    <xf numFmtId="164" fontId="7" fillId="0" borderId="4" pivotButton="0" quotePrefix="0" xfId="0"/>
    <xf numFmtId="165" fontId="7" fillId="0" borderId="4" pivotButton="0" quotePrefix="0" xfId="0"/>
    <xf numFmtId="166" fontId="7" fillId="0" borderId="4" pivotButton="0" quotePrefix="0" xfId="0"/>
    <xf numFmtId="165" fontId="3" fillId="4" borderId="1" pivotButton="0" quotePrefix="0" xfId="0"/>
    <xf numFmtId="0" fontId="8" fillId="0" borderId="0" pivotButton="0" quotePrefix="0" xfId="0"/>
    <xf numFmtId="10" fontId="7" fillId="0" borderId="4" pivotButton="0" quotePrefix="0" xfId="0"/>
    <xf numFmtId="0" fontId="5" fillId="4" borderId="4" pivotButton="0" quotePrefix="0" xfId="0"/>
    <xf numFmtId="0" fontId="3" fillId="5" borderId="4" pivotButton="0" quotePrefix="0" xfId="0"/>
    <xf numFmtId="0" fontId="3" fillId="4" borderId="4" pivotButton="0" quotePrefix="0" xfId="0"/>
    <xf numFmtId="166" fontId="3" fillId="5" borderId="4" pivotButton="0" quotePrefix="0" xfId="0"/>
    <xf numFmtId="164" fontId="3" fillId="4" borderId="4" pivotButton="0" quotePrefix="0" xfId="0"/>
    <xf numFmtId="166" fontId="3" fillId="4" borderId="4" pivotButton="0" quotePrefix="0" xfId="0"/>
    <xf numFmtId="164" fontId="3" fillId="5" borderId="4" pivotButton="0" quotePrefix="0" xfId="0"/>
    <xf numFmtId="165" fontId="3" fillId="5" borderId="4" pivotButton="0" quotePrefix="0" xfId="0"/>
    <xf numFmtId="10" fontId="3" fillId="4" borderId="4" pivotButton="0" quotePrefix="0" xfId="0"/>
    <xf numFmtId="0" fontId="7" fillId="0" borderId="4" pivotButton="0" quotePrefix="0" xfId="0"/>
    <xf numFmtId="164" fontId="7" fillId="0" borderId="4" pivotButton="0" quotePrefix="0" xfId="0"/>
    <xf numFmtId="0" fontId="0" fillId="0" borderId="0" pivotButton="0" quotePrefix="0" xfId="0"/>
    <xf numFmtId="3" fontId="7" fillId="0" borderId="4" pivotButton="0" quotePrefix="0" xfId="0"/>
    <xf numFmtId="3" fontId="3" fillId="5" borderId="4" pivotButton="0" quotePrefix="0" xfId="0"/>
    <xf numFmtId="10" fontId="3" fillId="5" borderId="4" pivotButton="0" quotePrefix="0" xfId="0"/>
    <xf numFmtId="3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  <xf numFmtId="0" fontId="9" fillId="0" borderId="0" applyAlignment="1" pivotButton="0" quotePrefix="0" xfId="0">
      <alignment horizontal="center"/>
    </xf>
    <xf numFmtId="0" fontId="9" fillId="3" borderId="1" pivotButton="0" quotePrefix="0" xfId="0"/>
    <xf numFmtId="0" fontId="10" fillId="0" borderId="6" applyAlignment="1" pivotButton="0" quotePrefix="0" xfId="0">
      <alignment horizontal="center"/>
    </xf>
    <xf numFmtId="0" fontId="10" fillId="0" borderId="6" pivotButton="0" quotePrefix="0" xfId="0"/>
    <xf numFmtId="3" fontId="10" fillId="0" borderId="6" pivotButton="0" quotePrefix="0" xfId="0"/>
    <xf numFmtId="166" fontId="10" fillId="0" borderId="6" pivotButton="0" quotePrefix="0" xfId="0"/>
    <xf numFmtId="10" fontId="10" fillId="0" borderId="6" pivotButton="0" quotePrefix="0" xfId="0"/>
    <xf numFmtId="0" fontId="5" fillId="6" borderId="7" pivotButton="0" quotePrefix="0" xfId="0"/>
    <xf numFmtId="0" fontId="11" fillId="6" borderId="7" pivotButton="0" quotePrefix="0" xfId="0"/>
    <xf numFmtId="3" fontId="11" fillId="6" borderId="7" pivotButton="0" quotePrefix="0" xfId="0"/>
    <xf numFmtId="166" fontId="11" fillId="6" borderId="7" pivotButton="0" quotePrefix="0" xfId="0"/>
    <xf numFmtId="10" fontId="11" fillId="6" borderId="7" pivotButton="0" quotePrefix="0" xfId="0"/>
    <xf numFmtId="0" fontId="10" fillId="4" borderId="6" applyAlignment="1" pivotButton="0" quotePrefix="0" xfId="0">
      <alignment horizontal="center"/>
    </xf>
    <xf numFmtId="0" fontId="10" fillId="4" borderId="6" pivotButton="0" quotePrefix="0" xfId="0"/>
    <xf numFmtId="3" fontId="10" fillId="4" borderId="6" pivotButton="0" quotePrefix="0" xfId="0"/>
    <xf numFmtId="166" fontId="10" fillId="4" borderId="6" pivotButton="0" quotePrefix="0" xfId="0"/>
    <xf numFmtId="10" fontId="10" fillId="4" borderId="6" pivotButton="0" quotePrefix="0" xfId="0"/>
    <xf numFmtId="0" fontId="10" fillId="3" borderId="6" pivotButton="0" quotePrefix="0" xfId="0"/>
    <xf numFmtId="0" fontId="7" fillId="6" borderId="7" applyAlignment="1" pivotButton="0" quotePrefix="0" xfId="0">
      <alignment horizontal="center"/>
    </xf>
    <xf numFmtId="0" fontId="7" fillId="6" borderId="7" pivotButton="0" quotePrefix="0" xfId="0"/>
    <xf numFmtId="0" fontId="9" fillId="4" borderId="4" pivotButton="0" quotePrefix="0" xfId="0"/>
    <xf numFmtId="0" fontId="0" fillId="0" borderId="10" pivotButton="0" quotePrefix="0" xfId="0"/>
    <xf numFmtId="0" fontId="0" fillId="0" borderId="11" pivotButton="0" quotePrefix="0" xfId="0"/>
    <xf numFmtId="0" fontId="9" fillId="0" borderId="4" applyAlignment="1" pivotButton="0" quotePrefix="0" xfId="0">
      <alignment horizontal="center"/>
    </xf>
    <xf numFmtId="0" fontId="9" fillId="0" borderId="4" pivotButton="0" quotePrefix="0" xfId="0"/>
    <xf numFmtId="0" fontId="9" fillId="0" borderId="0" pivotButton="0" quotePrefix="0" xfId="0"/>
    <xf numFmtId="0" fontId="10" fillId="5" borderId="6" applyAlignment="1" pivotButton="0" quotePrefix="0" xfId="0">
      <alignment horizontal="center"/>
    </xf>
    <xf numFmtId="0" fontId="10" fillId="5" borderId="6" pivotButton="0" quotePrefix="0" xfId="0"/>
    <xf numFmtId="3" fontId="10" fillId="5" borderId="6" pivotButton="0" quotePrefix="0" xfId="0"/>
    <xf numFmtId="166" fontId="10" fillId="5" borderId="6" pivotButton="0" quotePrefix="0" xfId="0"/>
    <xf numFmtId="10" fontId="10" fillId="5" borderId="6" pivotButton="0" quotePrefix="0" xfId="0"/>
    <xf numFmtId="0" fontId="0" fillId="6" borderId="7" pivotButton="0" quotePrefix="0" xfId="0"/>
    <xf numFmtId="0" fontId="0" fillId="7" borderId="12" pivotButton="0" quotePrefix="0" xfId="0"/>
    <xf numFmtId="0" fontId="11" fillId="7" borderId="12" pivotButton="0" quotePrefix="0" xfId="0"/>
    <xf numFmtId="3" fontId="11" fillId="7" borderId="12" pivotButton="0" quotePrefix="0" xfId="0"/>
    <xf numFmtId="166" fontId="11" fillId="7" borderId="12" pivotButton="0" quotePrefix="0" xfId="0"/>
    <xf numFmtId="10" fontId="11" fillId="7" borderId="12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ColWidth="14.43" defaultRowHeight="15" customHeight="1"/>
  <cols>
    <col width="96" customWidth="1" style="29" min="1" max="1"/>
    <col width="41" customWidth="1" style="29" min="2" max="2"/>
    <col width="82" customWidth="1" style="29" min="3" max="3"/>
    <col width="34" customWidth="1" style="29" min="4" max="4"/>
    <col width="27" customWidth="1" style="29" min="5" max="6"/>
    <col width="34" customWidth="1" style="29" min="7" max="7"/>
    <col width="27" customWidth="1" style="29" min="8" max="8"/>
    <col width="16" customWidth="1" style="29" min="9" max="9"/>
    <col width="40" customWidth="1" style="29" min="10" max="10"/>
    <col width="8.710000000000001" customWidth="1" style="29" min="11" max="26"/>
  </cols>
  <sheetData>
    <row r="1">
      <c r="A1" s="1" t="inlineStr">
        <is>
          <t>BÁO CÁO TỔNG HỢP NGUỒN VỐN VÀ DỰ TOÁN CHI PHÍ DỰ ÁN (HOÀN CHỈNH)</t>
        </is>
      </c>
    </row>
    <row r="2">
      <c r="A2" s="2" t="inlineStr">
        <is>
          <t>Dự án: Hệ thống Bán hàng Online ABC Wear | Mã gói thầu: ABC-WSS-PM_26I_09 | Nhà thầu: Nhóm 09</t>
        </is>
      </c>
    </row>
    <row r="4">
      <c r="A4" s="3" t="inlineStr">
        <is>
          <t>TỔNG GIÁ TRỊ HỢP ĐỒNG (SAU VAT)</t>
        </is>
      </c>
      <c r="D4" s="3" t="inlineStr">
        <is>
          <t>GIÁ TRỊ TRƯỚC THUẾ (NET)</t>
        </is>
      </c>
      <c r="G4" s="3" t="inlineStr">
        <is>
          <t>TỔNG THUẾ VAT (10%)</t>
        </is>
      </c>
      <c r="J4" s="3" t="inlineStr">
        <is>
          <t>TỔNG GIỜ CÔNG NHÂN LỰC</t>
        </is>
      </c>
    </row>
    <row r="5">
      <c r="A5" s="10">
        <f>'Cost Summary &amp; Dashboard'!H23</f>
        <v/>
      </c>
      <c r="D5" s="10">
        <f>'Cost Summary &amp; Dashboard'!E23</f>
        <v/>
      </c>
      <c r="G5" s="10">
        <f>'Cost Summary &amp; Dashboard'!G23</f>
        <v/>
      </c>
      <c r="J5" s="15">
        <f>'Resource &amp; Rates'!E18</f>
        <v/>
      </c>
    </row>
    <row r="8">
      <c r="A8" s="16" t="inlineStr">
        <is>
          <t>1. TỔNG HỢP CHI PHÍ THEO PHẠM VI CUNG CẤP (WBS CATEGORIES)</t>
        </is>
      </c>
    </row>
    <row r="9">
      <c r="A9" s="4" t="inlineStr">
        <is>
          <t>STT</t>
        </is>
      </c>
      <c r="B9" s="4" t="inlineStr">
        <is>
          <t>Hạng Mục Dịch Vụ / Phân Hệ</t>
        </is>
      </c>
      <c r="C9" s="4" t="inlineStr">
        <is>
          <t>Mô Tả Cung Cấp</t>
        </is>
      </c>
      <c r="D9" s="4" t="inlineStr">
        <is>
          <t>ĐVT</t>
        </is>
      </c>
      <c r="E9" s="4" t="inlineStr">
        <is>
          <t>Giá Trước VAT (VNĐ)</t>
        </is>
      </c>
      <c r="F9" s="4" t="inlineStr">
        <is>
          <t>Thuế Suất</t>
        </is>
      </c>
      <c r="G9" s="4" t="inlineStr">
        <is>
          <t>Tiền Thuế VAT (VNĐ)</t>
        </is>
      </c>
      <c r="H9" s="4" t="inlineStr">
        <is>
          <t>Giá Sau VAT (VNĐ)</t>
        </is>
      </c>
      <c r="I9" s="4" t="inlineStr">
        <is>
          <t>Tỷ Trọng (%)</t>
        </is>
      </c>
      <c r="J9" s="4" t="inlineStr">
        <is>
          <t>Ghi Chú</t>
        </is>
      </c>
    </row>
    <row r="10">
      <c r="A10" s="9" t="n">
        <v>1</v>
      </c>
      <c r="B10" s="27" t="inlineStr">
        <is>
          <t>Phân tích hệ thống (System Analysis)</t>
        </is>
      </c>
      <c r="C10" s="27" t="inlineStr">
        <is>
          <t>Khảo sát AS-IS, đặc tả SRS, NFR &amp; luồng TO-BE, đóng băng M1</t>
        </is>
      </c>
      <c r="D10" s="9" t="inlineStr">
        <is>
          <t>Gói</t>
        </is>
      </c>
      <c r="E10" s="28">
        <f>'Detailed Estimate'!F10</f>
        <v/>
      </c>
      <c r="F10" s="14">
        <f>'Detailed Estimate'!G10</f>
        <v/>
      </c>
      <c r="G10" s="28">
        <f>'Detailed Estimate'!H10</f>
        <v/>
      </c>
      <c r="H10" s="28">
        <f>'Detailed Estimate'!I10</f>
        <v/>
      </c>
      <c r="I10" s="17">
        <f>H10/$H$16</f>
        <v/>
      </c>
      <c r="J10" s="27" t="inlineStr">
        <is>
          <t>Tham chiếu WBS chi tiết</t>
        </is>
      </c>
    </row>
    <row r="11">
      <c r="A11" s="9" t="n">
        <v>2</v>
      </c>
      <c r="B11" s="27" t="inlineStr">
        <is>
          <t>Thiết kế &amp; Phát triển Web Selling Site</t>
        </is>
      </c>
      <c r="C11" s="27" t="inlineStr">
        <is>
          <t>Kiến trúc HLD/LLD, Selling DB, UI/UX, 16 tính năng E-commerce, CDN &amp; CI/CD</t>
        </is>
      </c>
      <c r="D11" s="9" t="inlineStr">
        <is>
          <t>Hệ thống</t>
        </is>
      </c>
      <c r="E11" s="28">
        <f>'Detailed Estimate'!F35</f>
        <v/>
      </c>
      <c r="F11" s="14">
        <f>'Detailed Estimate'!G35</f>
        <v/>
      </c>
      <c r="G11" s="28">
        <f>'Detailed Estimate'!H35</f>
        <v/>
      </c>
      <c r="H11" s="28">
        <f>'Detailed Estimate'!I35</f>
        <v/>
      </c>
      <c r="I11" s="17">
        <f>H11/$H$16</f>
        <v/>
      </c>
      <c r="J11" s="27" t="inlineStr">
        <is>
          <t>Tham chiếu WBS chi tiết</t>
        </is>
      </c>
    </row>
    <row r="12">
      <c r="A12" s="9" t="n">
        <v>3</v>
      </c>
      <c r="B12" s="27" t="inlineStr">
        <is>
          <t>Tích hợp Main System</t>
        </is>
      </c>
      <c r="C12" s="27" t="inlineStr">
        <is>
          <t>Adapter đồng bộ sản phẩm, tồn kho, đơn hàng, khách hàng với hệ thống lõi</t>
        </is>
      </c>
      <c r="D12" s="9" t="inlineStr">
        <is>
          <t>Hệ thống</t>
        </is>
      </c>
      <c r="E12" s="28">
        <f>'Detailed Estimate'!F45</f>
        <v/>
      </c>
      <c r="F12" s="14">
        <f>'Detailed Estimate'!G45</f>
        <v/>
      </c>
      <c r="G12" s="28">
        <f>'Detailed Estimate'!H45</f>
        <v/>
      </c>
      <c r="H12" s="28">
        <f>'Detailed Estimate'!I45</f>
        <v/>
      </c>
      <c r="I12" s="17">
        <f>H12/$H$16</f>
        <v/>
      </c>
      <c r="J12" s="27" t="inlineStr">
        <is>
          <t>Tham chiếu WBS chi tiết</t>
        </is>
      </c>
    </row>
    <row r="13">
      <c r="A13" s="9" t="n">
        <v>4</v>
      </c>
      <c r="B13" s="27" t="inlineStr">
        <is>
          <t>Kiểm thử vận hành (Operation Test)</t>
        </is>
      </c>
      <c r="C13" s="27" t="inlineStr">
        <is>
          <t>SIT, kịch bản test case, kiểm thử hiệu năng P95&lt;=2s, Security &amp; UAT M4</t>
        </is>
      </c>
      <c r="D13" s="9" t="inlineStr">
        <is>
          <t>Bộ</t>
        </is>
      </c>
      <c r="E13" s="28">
        <f>'Detailed Estimate'!F53</f>
        <v/>
      </c>
      <c r="F13" s="14">
        <f>'Detailed Estimate'!G53</f>
        <v/>
      </c>
      <c r="G13" s="28">
        <f>'Detailed Estimate'!H53</f>
        <v/>
      </c>
      <c r="H13" s="28">
        <f>'Detailed Estimate'!I53</f>
        <v/>
      </c>
      <c r="I13" s="17">
        <f>H13/$H$16</f>
        <v/>
      </c>
      <c r="J13" s="27" t="inlineStr">
        <is>
          <t>Tham chiếu WBS chi tiết</t>
        </is>
      </c>
    </row>
    <row r="14">
      <c r="A14" s="9" t="n">
        <v>5</v>
      </c>
      <c r="B14" s="27" t="inlineStr">
        <is>
          <t>Bàn giao &amp; Cut-over</t>
        </is>
      </c>
      <c r="C14" s="27" t="inlineStr">
        <is>
          <t>Chuyển đổi CSDL, đào tạo, tài liệu HDSD/vận hành, Cut-over &amp; 01 tháng Hypercare</t>
        </is>
      </c>
      <c r="D14" s="9" t="inlineStr">
        <is>
          <t>Hệ thống</t>
        </is>
      </c>
      <c r="E14" s="28">
        <f>'Detailed Estimate'!F60</f>
        <v/>
      </c>
      <c r="F14" s="14">
        <f>'Detailed Estimate'!G60</f>
        <v/>
      </c>
      <c r="G14" s="28">
        <f>'Detailed Estimate'!H60</f>
        <v/>
      </c>
      <c r="H14" s="28">
        <f>'Detailed Estimate'!I60</f>
        <v/>
      </c>
      <c r="I14" s="17">
        <f>H14/$H$16</f>
        <v/>
      </c>
      <c r="J14" s="27" t="inlineStr">
        <is>
          <t>Tham chiếu WBS chi tiết</t>
        </is>
      </c>
    </row>
    <row r="15">
      <c r="A15" s="9" t="n">
        <v>6</v>
      </c>
      <c r="B15" s="27" t="inlineStr">
        <is>
          <t>Bảo hành &amp; Hỗ trợ kỹ thuật</t>
        </is>
      </c>
      <c r="C15" s="27" t="inlineStr">
        <is>
          <t>Bảo hành 12 tháng sau Go-live (2.900.000 VNĐ/tháng, SLA 24/7)</t>
        </is>
      </c>
      <c r="D15" s="9" t="inlineStr">
        <is>
          <t>12 Tháng</t>
        </is>
      </c>
      <c r="E15" s="28">
        <f>'Detailed Estimate'!F63</f>
        <v/>
      </c>
      <c r="F15" s="14">
        <f>'Detailed Estimate'!G63</f>
        <v/>
      </c>
      <c r="G15" s="28">
        <f>'Detailed Estimate'!H63</f>
        <v/>
      </c>
      <c r="H15" s="28">
        <f>'Detailed Estimate'!I63</f>
        <v/>
      </c>
      <c r="I15" s="17">
        <f>H15/$H$16</f>
        <v/>
      </c>
      <c r="J15" s="27" t="inlineStr">
        <is>
          <t>Tham chiếu WBS chi tiết</t>
        </is>
      </c>
    </row>
    <row r="16">
      <c r="A16" s="20" t="inlineStr">
        <is>
          <t>TỔNG CỘNG HẠNG MỤC DỊCH VỤ</t>
        </is>
      </c>
      <c r="B16" s="20" t="n"/>
      <c r="C16" s="20" t="n"/>
      <c r="D16" s="20" t="n"/>
      <c r="E16" s="22">
        <f>SUM(E10:E15)</f>
        <v/>
      </c>
      <c r="F16" s="23" t="n">
        <v>0.1</v>
      </c>
      <c r="G16" s="22">
        <f>SUM(G10:G15)</f>
        <v/>
      </c>
      <c r="H16" s="22">
        <f>SUM(H10:H15)</f>
        <v/>
      </c>
      <c r="I16" s="23">
        <f>SUM(I10:I15)</f>
        <v/>
      </c>
      <c r="J16" s="20" t="n"/>
    </row>
    <row r="18">
      <c r="A18" s="16" t="inlineStr">
        <is>
          <t>2. PHÂN TÍCH CƠ SỞ CẤU THÀNH CHI PHÍ VÀ DỰ PHÒNG (COST BASIS &amp; CONTINGENCY)</t>
        </is>
      </c>
    </row>
    <row r="19">
      <c r="A19" s="27" t="inlineStr">
        <is>
          <t>Chi phí nhân công trực tiếp (Direct Labor Cost)</t>
        </is>
      </c>
      <c r="B19" s="27" t="n"/>
      <c r="C19" s="27" t="inlineStr">
        <is>
          <t>3.200 giờ công / 12 nhân sự chuyên trách</t>
        </is>
      </c>
      <c r="D19" s="27" t="n"/>
      <c r="E19" s="30">
        <f>'Resource &amp; Rates'!F18</f>
        <v/>
      </c>
      <c r="F19" s="14" t="n">
        <v>0.1</v>
      </c>
      <c r="G19" s="30">
        <f>ROUND(E19*F19, 0)</f>
        <v/>
      </c>
      <c r="H19" s="30">
        <f>E19+G19</f>
        <v/>
      </c>
      <c r="I19" s="17">
        <f>H19/$H$23</f>
        <v/>
      </c>
      <c r="J19" s="27" t="inlineStr">
        <is>
          <t>Căn cứ ma trận giờ công &amp; đơn giá</t>
        </is>
      </c>
    </row>
    <row r="20">
      <c r="A20" s="27" t="inlineStr">
        <is>
          <t>Chi phí hạ tầng Cloud DEV/UAT &amp; Công cụ đo tải trực tiếp</t>
        </is>
      </c>
      <c r="B20" s="27" t="n"/>
      <c r="C20" s="27" t="inlineStr">
        <is>
          <t>Môi trường Cloud thử nghiệm, công cụ đo tải P95, SMS/OTP</t>
        </is>
      </c>
      <c r="D20" s="27" t="n"/>
      <c r="E20" s="30" t="n">
        <v>28500000</v>
      </c>
      <c r="F20" s="14" t="n">
        <v>0.1</v>
      </c>
      <c r="G20" s="30">
        <f>ROUND(E20*F20, 0)</f>
        <v/>
      </c>
      <c r="H20" s="30">
        <f>E20+G20</f>
        <v/>
      </c>
      <c r="I20" s="17">
        <f>H20/$H$23</f>
        <v/>
      </c>
      <c r="J20" s="27" t="inlineStr">
        <is>
          <t>Dự phòng rủi ro được xác định rõ ràng</t>
        </is>
      </c>
    </row>
    <row r="21" ht="15.75" customHeight="1" s="29">
      <c r="A21" s="27" t="inlineStr">
        <is>
          <t>Chi phí dự phòng rủi ro kỹ thuật &amp; quản lý thay đổi (Contingency Reserve)</t>
        </is>
      </c>
      <c r="B21" s="27" t="n"/>
      <c r="C21" s="27" t="inlineStr">
        <is>
          <t>Dự phòng rủi ro và quản lý thay đổi theo yêu cầu hồ sơ (21,7%)</t>
        </is>
      </c>
      <c r="D21" s="27" t="n"/>
      <c r="E21" s="30" t="n">
        <v>236809091</v>
      </c>
      <c r="F21" s="14" t="n">
        <v>0.1</v>
      </c>
      <c r="G21" s="30">
        <f>ROUND(E21*F21, 0)</f>
        <v/>
      </c>
      <c r="H21" s="30">
        <f>E21+G21</f>
        <v/>
      </c>
      <c r="I21" s="17">
        <f>H21/$H$23</f>
        <v/>
      </c>
      <c r="J21" s="27" t="inlineStr">
        <is>
          <t>Tổng tiền thuế GTGT phải nộp</t>
        </is>
      </c>
    </row>
    <row r="22" ht="15.75" customHeight="1" s="29">
      <c r="A22" s="19" t="inlineStr">
        <is>
          <t>Thuế Giá trị gia tăng VAT (10% áp dụng cho toàn bộ gói thầu)</t>
        </is>
      </c>
      <c r="B22" s="19" t="n"/>
      <c r="C22" s="19" t="inlineStr">
        <is>
          <t>Thuế GTGT 10% theo Luật Thuế hiện hành</t>
        </is>
      </c>
      <c r="D22" s="19" t="n"/>
      <c r="E22" s="31" t="n"/>
      <c r="F22" s="21" t="n">
        <v>0.1</v>
      </c>
      <c r="G22" s="31">
        <f>G19+G20+G21</f>
        <v/>
      </c>
      <c r="H22" s="31">
        <f>G22</f>
        <v/>
      </c>
      <c r="I22" s="32">
        <f>H22/$H$23</f>
        <v/>
      </c>
      <c r="J22" s="19" t="n"/>
    </row>
    <row r="23" ht="15.75" customHeight="1" s="29">
      <c r="A23" s="0" t="inlineStr">
        <is>
          <t>TỔNG GIÁ TRỊ HỢP ĐỒNG TRỌN GÓI (CONTRACT PRICE)</t>
        </is>
      </c>
      <c r="E23" s="33">
        <f>E19+E20+E21</f>
        <v/>
      </c>
      <c r="F23" s="34" t="n">
        <v>0.1</v>
      </c>
      <c r="G23" s="33">
        <f>G22</f>
        <v/>
      </c>
      <c r="H23" s="33">
        <f>E23+G23</f>
        <v/>
      </c>
      <c r="I23" s="35" t="n">
        <v>1</v>
      </c>
    </row>
    <row r="24" ht="15.75" customHeight="1" s="29"/>
    <row r="25" ht="15.75" customHeight="1" s="29"/>
    <row r="26" ht="15.75" customHeight="1" s="29"/>
    <row r="27" ht="15.75" customHeight="1" s="29"/>
    <row r="28" ht="15.75" customHeight="1" s="29"/>
    <row r="29" ht="15.75" customHeight="1" s="29"/>
    <row r="30" ht="15.75" customHeight="1" s="29"/>
    <row r="31" ht="15.75" customHeight="1" s="29"/>
    <row r="32" ht="15.75" customHeight="1" s="29"/>
    <row r="33" ht="15.75" customHeight="1" s="29"/>
    <row r="34" ht="15.75" customHeight="1" s="29"/>
    <row r="35" ht="15.75" customHeight="1" s="29"/>
    <row r="36" ht="15.75" customHeight="1" s="29"/>
    <row r="37" ht="15.75" customHeight="1" s="29"/>
    <row r="38" ht="15.75" customHeight="1" s="29"/>
    <row r="39" ht="15.75" customHeight="1" s="29"/>
    <row r="40" ht="15.75" customHeight="1" s="29"/>
    <row r="41" ht="15.75" customHeight="1" s="29"/>
    <row r="42" ht="15.75" customHeight="1" s="29"/>
    <row r="43" ht="15.75" customHeight="1" s="29"/>
    <row r="44" ht="15.75" customHeight="1" s="29"/>
    <row r="45" ht="15.75" customHeight="1" s="29"/>
    <row r="46" ht="15.75" customHeight="1" s="29"/>
    <row r="47" ht="15.75" customHeight="1" s="29"/>
    <row r="48" ht="15.75" customHeight="1" s="29"/>
    <row r="49" ht="15.75" customHeight="1" s="29"/>
    <row r="50" ht="15.75" customHeight="1" s="29"/>
    <row r="51" ht="15.75" customHeight="1" s="29"/>
    <row r="52" ht="15.75" customHeight="1" s="29"/>
    <row r="53" ht="15.75" customHeight="1" s="29"/>
    <row r="54" ht="15.75" customHeight="1" s="29"/>
    <row r="55" ht="15.75" customHeight="1" s="29"/>
    <row r="56" ht="15.75" customHeight="1" s="29"/>
    <row r="57" ht="15.75" customHeight="1" s="29"/>
    <row r="58" ht="15.75" customHeight="1" s="29"/>
    <row r="59" ht="15.75" customHeight="1" s="29"/>
    <row r="60" ht="15.75" customHeight="1" s="29"/>
    <row r="61" ht="15.75" customHeight="1" s="29"/>
    <row r="62" ht="15.75" customHeight="1" s="29"/>
    <row r="63" ht="15.75" customHeight="1" s="29"/>
    <row r="64" ht="15.75" customHeight="1" s="29"/>
    <row r="65" ht="15.75" customHeight="1" s="29"/>
    <row r="66" ht="15.75" customHeight="1" s="29"/>
    <row r="67" ht="15.75" customHeight="1" s="29"/>
    <row r="68" ht="15.75" customHeight="1" s="29"/>
    <row r="69" ht="15.75" customHeight="1" s="29"/>
    <row r="70" ht="15.75" customHeight="1" s="29"/>
    <row r="71" ht="15.75" customHeight="1" s="29"/>
    <row r="72" ht="15.75" customHeight="1" s="29"/>
    <row r="73" ht="15.75" customHeight="1" s="29"/>
    <row r="74" ht="15.75" customHeight="1" s="29"/>
    <row r="75" ht="15.75" customHeight="1" s="29"/>
    <row r="76" ht="15.75" customHeight="1" s="29"/>
    <row r="77" ht="15.75" customHeight="1" s="29"/>
    <row r="78" ht="15.75" customHeight="1" s="29"/>
    <row r="79" ht="15.75" customHeight="1" s="29"/>
    <row r="80" ht="15.75" customHeight="1" s="29"/>
    <row r="81" ht="15.75" customHeight="1" s="29"/>
    <row r="82" ht="15.75" customHeight="1" s="29"/>
    <row r="83" ht="15.75" customHeight="1" s="29"/>
    <row r="84" ht="15.75" customHeight="1" s="29"/>
    <row r="85" ht="15.75" customHeight="1" s="29"/>
    <row r="86" ht="15.75" customHeight="1" s="29"/>
    <row r="87" ht="15.75" customHeight="1" s="29"/>
    <row r="88" ht="15.75" customHeight="1" s="29"/>
    <row r="89" ht="15.75" customHeight="1" s="29"/>
    <row r="90" ht="15.75" customHeight="1" s="29"/>
    <row r="91" ht="15.75" customHeight="1" s="29"/>
    <row r="92" ht="15.75" customHeight="1" s="29"/>
    <row r="93" ht="15.75" customHeight="1" s="29"/>
    <row r="94" ht="15.75" customHeight="1" s="29"/>
    <row r="95" ht="15.75" customHeight="1" s="29"/>
    <row r="96" ht="15.75" customHeight="1" s="29"/>
    <row r="97" ht="15.75" customHeight="1" s="29"/>
    <row r="98" ht="15.75" customHeight="1" s="29"/>
    <row r="99" ht="15.75" customHeight="1" s="29"/>
    <row r="100" ht="15.75" customHeight="1" s="29"/>
    <row r="101" ht="15.75" customHeight="1" s="29"/>
    <row r="102" ht="15.75" customHeight="1" s="29"/>
    <row r="103" ht="15.75" customHeight="1" s="29"/>
    <row r="104" ht="15.75" customHeight="1" s="29"/>
    <row r="105" ht="15.75" customHeight="1" s="29"/>
    <row r="106" ht="15.75" customHeight="1" s="29"/>
    <row r="107" ht="15.75" customHeight="1" s="29"/>
    <row r="108" ht="15.75" customHeight="1" s="29"/>
    <row r="109" ht="15.75" customHeight="1" s="29"/>
    <row r="110" ht="15.75" customHeight="1" s="29"/>
    <row r="111" ht="15.75" customHeight="1" s="29"/>
    <row r="112" ht="15.75" customHeight="1" s="29"/>
    <row r="113" ht="15.75" customHeight="1" s="29"/>
    <row r="114" ht="15.75" customHeight="1" s="29"/>
    <row r="115" ht="15.75" customHeight="1" s="29"/>
    <row r="116" ht="15.75" customHeight="1" s="29"/>
    <row r="117" ht="15.75" customHeight="1" s="29"/>
    <row r="118" ht="15.75" customHeight="1" s="29"/>
    <row r="119" ht="15.75" customHeight="1" s="29"/>
    <row r="120" ht="15.75" customHeight="1" s="29"/>
    <row r="121" ht="15.75" customHeight="1" s="29"/>
    <row r="122" ht="15.75" customHeight="1" s="29"/>
    <row r="123" ht="15.75" customHeight="1" s="29"/>
    <row r="124" ht="15.75" customHeight="1" s="29"/>
    <row r="125" ht="15.75" customHeight="1" s="29"/>
    <row r="126" ht="15.75" customHeight="1" s="29"/>
    <row r="127" ht="15.75" customHeight="1" s="29"/>
    <row r="128" ht="15.75" customHeight="1" s="29"/>
    <row r="129" ht="15.75" customHeight="1" s="29"/>
    <row r="130" ht="15.75" customHeight="1" s="29"/>
    <row r="131" ht="15.75" customHeight="1" s="29"/>
    <row r="132" ht="15.75" customHeight="1" s="29"/>
    <row r="133" ht="15.75" customHeight="1" s="29"/>
    <row r="134" ht="15.75" customHeight="1" s="29"/>
    <row r="135" ht="15.75" customHeight="1" s="29"/>
    <row r="136" ht="15.75" customHeight="1" s="29"/>
    <row r="137" ht="15.75" customHeight="1" s="29"/>
    <row r="138" ht="15.75" customHeight="1" s="29"/>
    <row r="139" ht="15.75" customHeight="1" s="29"/>
    <row r="140" ht="15.75" customHeight="1" s="29"/>
    <row r="141" ht="15.75" customHeight="1" s="29"/>
    <row r="142" ht="15.75" customHeight="1" s="29"/>
    <row r="143" ht="15.75" customHeight="1" s="29"/>
    <row r="144" ht="15.75" customHeight="1" s="29"/>
    <row r="145" ht="15.75" customHeight="1" s="29"/>
    <row r="146" ht="15.75" customHeight="1" s="29"/>
    <row r="147" ht="15.75" customHeight="1" s="29"/>
    <row r="148" ht="15.75" customHeight="1" s="29"/>
    <row r="149" ht="15.75" customHeight="1" s="29"/>
    <row r="150" ht="15.75" customHeight="1" s="29"/>
    <row r="151" ht="15.75" customHeight="1" s="29"/>
    <row r="152" ht="15.75" customHeight="1" s="29"/>
    <row r="153" ht="15.75" customHeight="1" s="29"/>
    <row r="154" ht="15.75" customHeight="1" s="29"/>
    <row r="155" ht="15.75" customHeight="1" s="29"/>
    <row r="156" ht="15.75" customHeight="1" s="29"/>
    <row r="157" ht="15.75" customHeight="1" s="29"/>
    <row r="158" ht="15.75" customHeight="1" s="29"/>
    <row r="159" ht="15.75" customHeight="1" s="29"/>
    <row r="160" ht="15.75" customHeight="1" s="29"/>
    <row r="161" ht="15.75" customHeight="1" s="29"/>
    <row r="162" ht="15.75" customHeight="1" s="29"/>
    <row r="163" ht="15.75" customHeight="1" s="29"/>
    <row r="164" ht="15.75" customHeight="1" s="29"/>
    <row r="165" ht="15.75" customHeight="1" s="29"/>
    <row r="166" ht="15.75" customHeight="1" s="29"/>
    <row r="167" ht="15.75" customHeight="1" s="29"/>
    <row r="168" ht="15.75" customHeight="1" s="29"/>
    <row r="169" ht="15.75" customHeight="1" s="29"/>
    <row r="170" ht="15.75" customHeight="1" s="29"/>
    <row r="171" ht="15.75" customHeight="1" s="29"/>
    <row r="172" ht="15.75" customHeight="1" s="29"/>
    <row r="173" ht="15.75" customHeight="1" s="29"/>
    <row r="174" ht="15.75" customHeight="1" s="29"/>
    <row r="175" ht="15.75" customHeight="1" s="29"/>
    <row r="176" ht="15.75" customHeight="1" s="29"/>
    <row r="177" ht="15.75" customHeight="1" s="29"/>
    <row r="178" ht="15.75" customHeight="1" s="29"/>
    <row r="179" ht="15.75" customHeight="1" s="29"/>
    <row r="180" ht="15.75" customHeight="1" s="29"/>
    <row r="181" ht="15.75" customHeight="1" s="29"/>
    <row r="182" ht="15.75" customHeight="1" s="29"/>
    <row r="183" ht="15.75" customHeight="1" s="29"/>
    <row r="184" ht="15.75" customHeight="1" s="29"/>
    <row r="185" ht="15.75" customHeight="1" s="29"/>
    <row r="186" ht="15.75" customHeight="1" s="29"/>
    <row r="187" ht="15.75" customHeight="1" s="29"/>
    <row r="188" ht="15.75" customHeight="1" s="29"/>
    <row r="189" ht="15.75" customHeight="1" s="29"/>
    <row r="190" ht="15.75" customHeight="1" s="29"/>
    <row r="191" ht="15.75" customHeight="1" s="29"/>
    <row r="192" ht="15.75" customHeight="1" s="29"/>
    <row r="193" ht="15.75" customHeight="1" s="29"/>
    <row r="194" ht="15.75" customHeight="1" s="29"/>
    <row r="195" ht="15.75" customHeight="1" s="29"/>
    <row r="196" ht="15.75" customHeight="1" s="29"/>
    <row r="197" ht="15.75" customHeight="1" s="29"/>
    <row r="198" ht="15.75" customHeight="1" s="29"/>
    <row r="199" ht="15.75" customHeight="1" s="29"/>
    <row r="200" ht="15.75" customHeight="1" s="29"/>
    <row r="201" ht="15.75" customHeight="1" s="29"/>
    <row r="202" ht="15.75" customHeight="1" s="29"/>
    <row r="203" ht="15.75" customHeight="1" s="29"/>
    <row r="204" ht="15.75" customHeight="1" s="29"/>
    <row r="205" ht="15.75" customHeight="1" s="29"/>
    <row r="206" ht="15.75" customHeight="1" s="29"/>
    <row r="207" ht="15.75" customHeight="1" s="29"/>
    <row r="208" ht="15.75" customHeight="1" s="29"/>
    <row r="209" ht="15.75" customHeight="1" s="29"/>
    <row r="210" ht="15.75" customHeight="1" s="29"/>
    <row r="211" ht="15.75" customHeight="1" s="29"/>
    <row r="212" ht="15.75" customHeight="1" s="29"/>
    <row r="213" ht="15.75" customHeight="1" s="29"/>
    <row r="214" ht="15.75" customHeight="1" s="29"/>
    <row r="215" ht="15.75" customHeight="1" s="29"/>
    <row r="216" ht="15.75" customHeight="1" s="29"/>
    <row r="217" ht="15.75" customHeight="1" s="29"/>
    <row r="218" ht="15.75" customHeight="1" s="29"/>
    <row r="219" ht="15.75" customHeight="1" s="29"/>
    <row r="220" ht="15.75" customHeight="1" s="29"/>
    <row r="221" ht="15.75" customHeight="1" s="29"/>
    <row r="222" ht="15.75" customHeight="1" s="29"/>
    <row r="223" ht="15.75" customHeight="1" s="29"/>
    <row r="224" ht="15.75" customHeight="1" s="29"/>
    <row r="225" ht="15.75" customHeight="1" s="29"/>
    <row r="226" ht="15.75" customHeight="1" s="29"/>
    <row r="227" ht="15.75" customHeight="1" s="29"/>
    <row r="228" ht="15.75" customHeight="1" s="29"/>
    <row r="229" ht="15.75" customHeight="1" s="29"/>
    <row r="230" ht="15.75" customHeight="1" s="29"/>
    <row r="231" ht="15.75" customHeight="1" s="29"/>
    <row r="232" ht="15.75" customHeight="1" s="29"/>
    <row r="233" ht="15.75" customHeight="1" s="29"/>
    <row r="234" ht="15.75" customHeight="1" s="29"/>
    <row r="235" ht="15.75" customHeight="1" s="29"/>
    <row r="236" ht="15.75" customHeight="1" s="29"/>
    <row r="237" ht="15.75" customHeight="1" s="29"/>
    <row r="238" ht="15.75" customHeight="1" s="29"/>
    <row r="239" ht="15.75" customHeight="1" s="29"/>
    <row r="240" ht="15.75" customHeight="1" s="29"/>
    <row r="241" ht="15.75" customHeight="1" s="29"/>
    <row r="242" ht="15.75" customHeight="1" s="29"/>
    <row r="243" ht="15.75" customHeight="1" s="29"/>
    <row r="244" ht="15.75" customHeight="1" s="29"/>
    <row r="245" ht="15.75" customHeight="1" s="29"/>
    <row r="246" ht="15.75" customHeight="1" s="29"/>
    <row r="247" ht="15.75" customHeight="1" s="29"/>
    <row r="248" ht="15.75" customHeight="1" s="29"/>
    <row r="249" ht="15.75" customHeight="1" s="29"/>
    <row r="250" ht="15.75" customHeight="1" s="29"/>
    <row r="251" ht="15.75" customHeight="1" s="29"/>
    <row r="252" ht="15.75" customHeight="1" s="29"/>
    <row r="253" ht="15.75" customHeight="1" s="29"/>
    <row r="254" ht="15.75" customHeight="1" s="29"/>
    <row r="255" ht="15.75" customHeight="1" s="29"/>
    <row r="256" ht="15.75" customHeight="1" s="29"/>
    <row r="257" ht="15.75" customHeight="1" s="29"/>
    <row r="258" ht="15.75" customHeight="1" s="29"/>
    <row r="259" ht="15.75" customHeight="1" s="29"/>
    <row r="260" ht="15.75" customHeight="1" s="29"/>
    <row r="261" ht="15.75" customHeight="1" s="29"/>
    <row r="262" ht="15.75" customHeight="1" s="29"/>
    <row r="263" ht="15.75" customHeight="1" s="29"/>
    <row r="264" ht="15.75" customHeight="1" s="29"/>
    <row r="265" ht="15.75" customHeight="1" s="29"/>
    <row r="266" ht="15.75" customHeight="1" s="29"/>
    <row r="267" ht="15.75" customHeight="1" s="29"/>
    <row r="268" ht="15.75" customHeight="1" s="29"/>
    <row r="269" ht="15.75" customHeight="1" s="29"/>
    <row r="270" ht="15.75" customHeight="1" s="29"/>
    <row r="271" ht="15.75" customHeight="1" s="29"/>
    <row r="272" ht="15.75" customHeight="1" s="29"/>
    <row r="273" ht="15.75" customHeight="1" s="29"/>
    <row r="274" ht="15.75" customHeight="1" s="29"/>
    <row r="275" ht="15.75" customHeight="1" s="29"/>
    <row r="276" ht="15.75" customHeight="1" s="29"/>
    <row r="277" ht="15.75" customHeight="1" s="29"/>
    <row r="278" ht="15.75" customHeight="1" s="29"/>
    <row r="279" ht="15.75" customHeight="1" s="29"/>
    <row r="280" ht="15.75" customHeight="1" s="29"/>
    <row r="281" ht="15.75" customHeight="1" s="29"/>
    <row r="282" ht="15.75" customHeight="1" s="29"/>
    <row r="283" ht="15.75" customHeight="1" s="29"/>
    <row r="284" ht="15.75" customHeight="1" s="29"/>
    <row r="285" ht="15.75" customHeight="1" s="29"/>
    <row r="286" ht="15.75" customHeight="1" s="29"/>
    <row r="287" ht="15.75" customHeight="1" s="29"/>
    <row r="288" ht="15.75" customHeight="1" s="29"/>
    <row r="289" ht="15.75" customHeight="1" s="29"/>
    <row r="290" ht="15.75" customHeight="1" s="29"/>
    <row r="291" ht="15.75" customHeight="1" s="29"/>
    <row r="292" ht="15.75" customHeight="1" s="29"/>
    <row r="293" ht="15.75" customHeight="1" s="29"/>
    <row r="294" ht="15.75" customHeight="1" s="29"/>
    <row r="295" ht="15.75" customHeight="1" s="29"/>
    <row r="296" ht="15.75" customHeight="1" s="29"/>
    <row r="297" ht="15.75" customHeight="1" s="29"/>
    <row r="298" ht="15.75" customHeight="1" s="29"/>
    <row r="299" ht="15.75" customHeight="1" s="29"/>
    <row r="300" ht="15.75" customHeight="1" s="29"/>
    <row r="301" ht="15.75" customHeight="1" s="29"/>
    <row r="302" ht="15.75" customHeight="1" s="29"/>
    <row r="303" ht="15.75" customHeight="1" s="29"/>
    <row r="304" ht="15.75" customHeight="1" s="29"/>
    <row r="305" ht="15.75" customHeight="1" s="29"/>
    <row r="306" ht="15.75" customHeight="1" s="29"/>
    <row r="307" ht="15.75" customHeight="1" s="29"/>
    <row r="308" ht="15.75" customHeight="1" s="29"/>
    <row r="309" ht="15.75" customHeight="1" s="29"/>
    <row r="310" ht="15.75" customHeight="1" s="29"/>
    <row r="311" ht="15.75" customHeight="1" s="29"/>
    <row r="312" ht="15.75" customHeight="1" s="29"/>
    <row r="313" ht="15.75" customHeight="1" s="29"/>
    <row r="314" ht="15.75" customHeight="1" s="29"/>
    <row r="315" ht="15.75" customHeight="1" s="29"/>
    <row r="316" ht="15.75" customHeight="1" s="29"/>
    <row r="317" ht="15.75" customHeight="1" s="29"/>
    <row r="318" ht="15.75" customHeight="1" s="29"/>
    <row r="319" ht="15.75" customHeight="1" s="29"/>
    <row r="320" ht="15.75" customHeight="1" s="29"/>
    <row r="321" ht="15.75" customHeight="1" s="29"/>
    <row r="322" ht="15.75" customHeight="1" s="29"/>
    <row r="323" ht="15.75" customHeight="1" s="29"/>
    <row r="324" ht="15.75" customHeight="1" s="29"/>
    <row r="325" ht="15.75" customHeight="1" s="29"/>
    <row r="326" ht="15.75" customHeight="1" s="29"/>
    <row r="327" ht="15.75" customHeight="1" s="29"/>
    <row r="328" ht="15.75" customHeight="1" s="29"/>
    <row r="329" ht="15.75" customHeight="1" s="29"/>
    <row r="330" ht="15.75" customHeight="1" s="29"/>
    <row r="331" ht="15.75" customHeight="1" s="29"/>
    <row r="332" ht="15.75" customHeight="1" s="29"/>
    <row r="333" ht="15.75" customHeight="1" s="29"/>
    <row r="334" ht="15.75" customHeight="1" s="29"/>
    <row r="335" ht="15.75" customHeight="1" s="29"/>
    <row r="336" ht="15.75" customHeight="1" s="29"/>
    <row r="337" ht="15.75" customHeight="1" s="29"/>
    <row r="338" ht="15.75" customHeight="1" s="29"/>
    <row r="339" ht="15.75" customHeight="1" s="29"/>
    <row r="340" ht="15.75" customHeight="1" s="29"/>
    <row r="341" ht="15.75" customHeight="1" s="29"/>
    <row r="342" ht="15.75" customHeight="1" s="29"/>
    <row r="343" ht="15.75" customHeight="1" s="29"/>
    <row r="344" ht="15.75" customHeight="1" s="29"/>
    <row r="345" ht="15.75" customHeight="1" s="29"/>
    <row r="346" ht="15.75" customHeight="1" s="29"/>
    <row r="347" ht="15.75" customHeight="1" s="29"/>
    <row r="348" ht="15.75" customHeight="1" s="29"/>
    <row r="349" ht="15.75" customHeight="1" s="29"/>
    <row r="350" ht="15.75" customHeight="1" s="29"/>
    <row r="351" ht="15.75" customHeight="1" s="29"/>
    <row r="352" ht="15.75" customHeight="1" s="29"/>
    <row r="353" ht="15.75" customHeight="1" s="29"/>
    <row r="354" ht="15.75" customHeight="1" s="29"/>
    <row r="355" ht="15.75" customHeight="1" s="29"/>
    <row r="356" ht="15.75" customHeight="1" s="29"/>
    <row r="357" ht="15.75" customHeight="1" s="29"/>
    <row r="358" ht="15.75" customHeight="1" s="29"/>
    <row r="359" ht="15.75" customHeight="1" s="29"/>
    <row r="360" ht="15.75" customHeight="1" s="29"/>
    <row r="361" ht="15.75" customHeight="1" s="29"/>
    <row r="362" ht="15.75" customHeight="1" s="29"/>
    <row r="363" ht="15.75" customHeight="1" s="29"/>
    <row r="364" ht="15.75" customHeight="1" s="29"/>
    <row r="365" ht="15.75" customHeight="1" s="29"/>
    <row r="366" ht="15.75" customHeight="1" s="29"/>
    <row r="367" ht="15.75" customHeight="1" s="29"/>
    <row r="368" ht="15.75" customHeight="1" s="29"/>
    <row r="369" ht="15.75" customHeight="1" s="29"/>
    <row r="370" ht="15.75" customHeight="1" s="29"/>
    <row r="371" ht="15.75" customHeight="1" s="29"/>
    <row r="372" ht="15.75" customHeight="1" s="29"/>
    <row r="373" ht="15.75" customHeight="1" s="29"/>
    <row r="374" ht="15.75" customHeight="1" s="29"/>
    <row r="375" ht="15.75" customHeight="1" s="29"/>
    <row r="376" ht="15.75" customHeight="1" s="29"/>
    <row r="377" ht="15.75" customHeight="1" s="29"/>
    <row r="378" ht="15.75" customHeight="1" s="29"/>
    <row r="379" ht="15.75" customHeight="1" s="29"/>
    <row r="380" ht="15.75" customHeight="1" s="29"/>
    <row r="381" ht="15.75" customHeight="1" s="29"/>
    <row r="382" ht="15.75" customHeight="1" s="29"/>
    <row r="383" ht="15.75" customHeight="1" s="29"/>
    <row r="384" ht="15.75" customHeight="1" s="29"/>
    <row r="385" ht="15.75" customHeight="1" s="29"/>
    <row r="386" ht="15.75" customHeight="1" s="29"/>
    <row r="387" ht="15.75" customHeight="1" s="29"/>
    <row r="388" ht="15.75" customHeight="1" s="29"/>
    <row r="389" ht="15.75" customHeight="1" s="29"/>
    <row r="390" ht="15.75" customHeight="1" s="29"/>
    <row r="391" ht="15.75" customHeight="1" s="29"/>
    <row r="392" ht="15.75" customHeight="1" s="29"/>
    <row r="393" ht="15.75" customHeight="1" s="29"/>
    <row r="394" ht="15.75" customHeight="1" s="29"/>
    <row r="395" ht="15.75" customHeight="1" s="29"/>
    <row r="396" ht="15.75" customHeight="1" s="29"/>
    <row r="397" ht="15.75" customHeight="1" s="29"/>
    <row r="398" ht="15.75" customHeight="1" s="29"/>
    <row r="399" ht="15.75" customHeight="1" s="29"/>
    <row r="400" ht="15.75" customHeight="1" s="29"/>
    <row r="401" ht="15.75" customHeight="1" s="29"/>
    <row r="402" ht="15.75" customHeight="1" s="29"/>
    <row r="403" ht="15.75" customHeight="1" s="29"/>
    <row r="404" ht="15.75" customHeight="1" s="29"/>
    <row r="405" ht="15.75" customHeight="1" s="29"/>
    <row r="406" ht="15.75" customHeight="1" s="29"/>
    <row r="407" ht="15.75" customHeight="1" s="29"/>
    <row r="408" ht="15.75" customHeight="1" s="29"/>
    <row r="409" ht="15.75" customHeight="1" s="29"/>
    <row r="410" ht="15.75" customHeight="1" s="29"/>
    <row r="411" ht="15.75" customHeight="1" s="29"/>
    <row r="412" ht="15.75" customHeight="1" s="29"/>
    <row r="413" ht="15.75" customHeight="1" s="29"/>
    <row r="414" ht="15.75" customHeight="1" s="29"/>
    <row r="415" ht="15.75" customHeight="1" s="29"/>
    <row r="416" ht="15.75" customHeight="1" s="29"/>
    <row r="417" ht="15.75" customHeight="1" s="29"/>
    <row r="418" ht="15.75" customHeight="1" s="29"/>
    <row r="419" ht="15.75" customHeight="1" s="29"/>
    <row r="420" ht="15.75" customHeight="1" s="29"/>
    <row r="421" ht="15.75" customHeight="1" s="29"/>
    <row r="422" ht="15.75" customHeight="1" s="29"/>
    <row r="423" ht="15.75" customHeight="1" s="29"/>
    <row r="424" ht="15.75" customHeight="1" s="29"/>
    <row r="425" ht="15.75" customHeight="1" s="29"/>
    <row r="426" ht="15.75" customHeight="1" s="29"/>
    <row r="427" ht="15.75" customHeight="1" s="29"/>
    <row r="428" ht="15.75" customHeight="1" s="29"/>
    <row r="429" ht="15.75" customHeight="1" s="29"/>
    <row r="430" ht="15.75" customHeight="1" s="29"/>
    <row r="431" ht="15.75" customHeight="1" s="29"/>
    <row r="432" ht="15.75" customHeight="1" s="29"/>
    <row r="433" ht="15.75" customHeight="1" s="29"/>
    <row r="434" ht="15.75" customHeight="1" s="29"/>
    <row r="435" ht="15.75" customHeight="1" s="29"/>
    <row r="436" ht="15.75" customHeight="1" s="29"/>
    <row r="437" ht="15.75" customHeight="1" s="29"/>
    <row r="438" ht="15.75" customHeight="1" s="29"/>
    <row r="439" ht="15.75" customHeight="1" s="29"/>
    <row r="440" ht="15.75" customHeight="1" s="29"/>
    <row r="441" ht="15.75" customHeight="1" s="29"/>
    <row r="442" ht="15.75" customHeight="1" s="29"/>
    <row r="443" ht="15.75" customHeight="1" s="29"/>
    <row r="444" ht="15.75" customHeight="1" s="29"/>
    <row r="445" ht="15.75" customHeight="1" s="29"/>
    <row r="446" ht="15.75" customHeight="1" s="29"/>
    <row r="447" ht="15.75" customHeight="1" s="29"/>
    <row r="448" ht="15.75" customHeight="1" s="29"/>
    <row r="449" ht="15.75" customHeight="1" s="29"/>
    <row r="450" ht="15.75" customHeight="1" s="29"/>
    <row r="451" ht="15.75" customHeight="1" s="29"/>
    <row r="452" ht="15.75" customHeight="1" s="29"/>
    <row r="453" ht="15.75" customHeight="1" s="29"/>
    <row r="454" ht="15.75" customHeight="1" s="29"/>
    <row r="455" ht="15.75" customHeight="1" s="29"/>
    <row r="456" ht="15.75" customHeight="1" s="29"/>
    <row r="457" ht="15.75" customHeight="1" s="29"/>
    <row r="458" ht="15.75" customHeight="1" s="29"/>
    <row r="459" ht="15.75" customHeight="1" s="29"/>
    <row r="460" ht="15.75" customHeight="1" s="29"/>
    <row r="461" ht="15.75" customHeight="1" s="29"/>
    <row r="462" ht="15.75" customHeight="1" s="29"/>
    <row r="463" ht="15.75" customHeight="1" s="29"/>
    <row r="464" ht="15.75" customHeight="1" s="29"/>
    <row r="465" ht="15.75" customHeight="1" s="29"/>
    <row r="466" ht="15.75" customHeight="1" s="29"/>
    <row r="467" ht="15.75" customHeight="1" s="29"/>
    <row r="468" ht="15.75" customHeight="1" s="29"/>
    <row r="469" ht="15.75" customHeight="1" s="29"/>
    <row r="470" ht="15.75" customHeight="1" s="29"/>
    <row r="471" ht="15.75" customHeight="1" s="29"/>
    <row r="472" ht="15.75" customHeight="1" s="29"/>
    <row r="473" ht="15.75" customHeight="1" s="29"/>
    <row r="474" ht="15.75" customHeight="1" s="29"/>
    <row r="475" ht="15.75" customHeight="1" s="29"/>
    <row r="476" ht="15.75" customHeight="1" s="29"/>
    <row r="477" ht="15.75" customHeight="1" s="29"/>
    <row r="478" ht="15.75" customHeight="1" s="29"/>
    <row r="479" ht="15.75" customHeight="1" s="29"/>
    <row r="480" ht="15.75" customHeight="1" s="29"/>
    <row r="481" ht="15.75" customHeight="1" s="29"/>
    <row r="482" ht="15.75" customHeight="1" s="29"/>
    <row r="483" ht="15.75" customHeight="1" s="29"/>
    <row r="484" ht="15.75" customHeight="1" s="29"/>
    <row r="485" ht="15.75" customHeight="1" s="29"/>
    <row r="486" ht="15.75" customHeight="1" s="29"/>
    <row r="487" ht="15.75" customHeight="1" s="29"/>
    <row r="488" ht="15.75" customHeight="1" s="29"/>
    <row r="489" ht="15.75" customHeight="1" s="29"/>
    <row r="490" ht="15.75" customHeight="1" s="29"/>
    <row r="491" ht="15.75" customHeight="1" s="29"/>
    <row r="492" ht="15.75" customHeight="1" s="29"/>
    <row r="493" ht="15.75" customHeight="1" s="29"/>
    <row r="494" ht="15.75" customHeight="1" s="29"/>
    <row r="495" ht="15.75" customHeight="1" s="29"/>
    <row r="496" ht="15.75" customHeight="1" s="29"/>
    <row r="497" ht="15.75" customHeight="1" s="29"/>
    <row r="498" ht="15.75" customHeight="1" s="29"/>
    <row r="499" ht="15.75" customHeight="1" s="29"/>
    <row r="500" ht="15.75" customHeight="1" s="29"/>
    <row r="501" ht="15.75" customHeight="1" s="29"/>
    <row r="502" ht="15.75" customHeight="1" s="29"/>
    <row r="503" ht="15.75" customHeight="1" s="29"/>
    <row r="504" ht="15.75" customHeight="1" s="29"/>
    <row r="505" ht="15.75" customHeight="1" s="29"/>
    <row r="506" ht="15.75" customHeight="1" s="29"/>
    <row r="507" ht="15.75" customHeight="1" s="29"/>
    <row r="508" ht="15.75" customHeight="1" s="29"/>
    <row r="509" ht="15.75" customHeight="1" s="29"/>
    <row r="510" ht="15.75" customHeight="1" s="29"/>
    <row r="511" ht="15.75" customHeight="1" s="29"/>
    <row r="512" ht="15.75" customHeight="1" s="29"/>
    <row r="513" ht="15.75" customHeight="1" s="29"/>
    <row r="514" ht="15.75" customHeight="1" s="29"/>
    <row r="515" ht="15.75" customHeight="1" s="29"/>
    <row r="516" ht="15.75" customHeight="1" s="29"/>
    <row r="517" ht="15.75" customHeight="1" s="29"/>
    <row r="518" ht="15.75" customHeight="1" s="29"/>
    <row r="519" ht="15.75" customHeight="1" s="29"/>
    <row r="520" ht="15.75" customHeight="1" s="29"/>
    <row r="521" ht="15.75" customHeight="1" s="29"/>
    <row r="522" ht="15.75" customHeight="1" s="29"/>
    <row r="523" ht="15.75" customHeight="1" s="29"/>
    <row r="524" ht="15.75" customHeight="1" s="29"/>
    <row r="525" ht="15.75" customHeight="1" s="29"/>
    <row r="526" ht="15.75" customHeight="1" s="29"/>
    <row r="527" ht="15.75" customHeight="1" s="29"/>
    <row r="528" ht="15.75" customHeight="1" s="29"/>
    <row r="529" ht="15.75" customHeight="1" s="29"/>
    <row r="530" ht="15.75" customHeight="1" s="29"/>
    <row r="531" ht="15.75" customHeight="1" s="29"/>
    <row r="532" ht="15.75" customHeight="1" s="29"/>
    <row r="533" ht="15.75" customHeight="1" s="29"/>
    <row r="534" ht="15.75" customHeight="1" s="29"/>
    <row r="535" ht="15.75" customHeight="1" s="29"/>
    <row r="536" ht="15.75" customHeight="1" s="29"/>
    <row r="537" ht="15.75" customHeight="1" s="29"/>
    <row r="538" ht="15.75" customHeight="1" s="29"/>
    <row r="539" ht="15.75" customHeight="1" s="29"/>
    <row r="540" ht="15.75" customHeight="1" s="29"/>
    <row r="541" ht="15.75" customHeight="1" s="29"/>
    <row r="542" ht="15.75" customHeight="1" s="29"/>
    <row r="543" ht="15.75" customHeight="1" s="29"/>
    <row r="544" ht="15.75" customHeight="1" s="29"/>
    <row r="545" ht="15.75" customHeight="1" s="29"/>
    <row r="546" ht="15.75" customHeight="1" s="29"/>
    <row r="547" ht="15.75" customHeight="1" s="29"/>
    <row r="548" ht="15.75" customHeight="1" s="29"/>
    <row r="549" ht="15.75" customHeight="1" s="29"/>
    <row r="550" ht="15.75" customHeight="1" s="29"/>
    <row r="551" ht="15.75" customHeight="1" s="29"/>
    <row r="552" ht="15.75" customHeight="1" s="29"/>
    <row r="553" ht="15.75" customHeight="1" s="29"/>
    <row r="554" ht="15.75" customHeight="1" s="29"/>
    <row r="555" ht="15.75" customHeight="1" s="29"/>
    <row r="556" ht="15.75" customHeight="1" s="29"/>
    <row r="557" ht="15.75" customHeight="1" s="29"/>
    <row r="558" ht="15.75" customHeight="1" s="29"/>
    <row r="559" ht="15.75" customHeight="1" s="29"/>
    <row r="560" ht="15.75" customHeight="1" s="29"/>
    <row r="561" ht="15.75" customHeight="1" s="29"/>
    <row r="562" ht="15.75" customHeight="1" s="29"/>
    <row r="563" ht="15.75" customHeight="1" s="29"/>
    <row r="564" ht="15.75" customHeight="1" s="29"/>
    <row r="565" ht="15.75" customHeight="1" s="29"/>
    <row r="566" ht="15.75" customHeight="1" s="29"/>
    <row r="567" ht="15.75" customHeight="1" s="29"/>
    <row r="568" ht="15.75" customHeight="1" s="29"/>
    <row r="569" ht="15.75" customHeight="1" s="29"/>
    <row r="570" ht="15.75" customHeight="1" s="29"/>
    <row r="571" ht="15.75" customHeight="1" s="29"/>
    <row r="572" ht="15.75" customHeight="1" s="29"/>
    <row r="573" ht="15.75" customHeight="1" s="29"/>
    <row r="574" ht="15.75" customHeight="1" s="29"/>
    <row r="575" ht="15.75" customHeight="1" s="29"/>
    <row r="576" ht="15.75" customHeight="1" s="29"/>
    <row r="577" ht="15.75" customHeight="1" s="29"/>
    <row r="578" ht="15.75" customHeight="1" s="29"/>
    <row r="579" ht="15.75" customHeight="1" s="29"/>
    <row r="580" ht="15.75" customHeight="1" s="29"/>
    <row r="581" ht="15.75" customHeight="1" s="29"/>
    <row r="582" ht="15.75" customHeight="1" s="29"/>
    <row r="583" ht="15.75" customHeight="1" s="29"/>
    <row r="584" ht="15.75" customHeight="1" s="29"/>
    <row r="585" ht="15.75" customHeight="1" s="29"/>
    <row r="586" ht="15.75" customHeight="1" s="29"/>
    <row r="587" ht="15.75" customHeight="1" s="29"/>
    <row r="588" ht="15.75" customHeight="1" s="29"/>
    <row r="589" ht="15.75" customHeight="1" s="29"/>
    <row r="590" ht="15.75" customHeight="1" s="29"/>
    <row r="591" ht="15.75" customHeight="1" s="29"/>
    <row r="592" ht="15.75" customHeight="1" s="29"/>
    <row r="593" ht="15.75" customHeight="1" s="29"/>
    <row r="594" ht="15.75" customHeight="1" s="29"/>
    <row r="595" ht="15.75" customHeight="1" s="29"/>
    <row r="596" ht="15.75" customHeight="1" s="29"/>
    <row r="597" ht="15.75" customHeight="1" s="29"/>
    <row r="598" ht="15.75" customHeight="1" s="29"/>
    <row r="599" ht="15.75" customHeight="1" s="29"/>
    <row r="600" ht="15.75" customHeight="1" s="29"/>
    <row r="601" ht="15.75" customHeight="1" s="29"/>
    <row r="602" ht="15.75" customHeight="1" s="29"/>
    <row r="603" ht="15.75" customHeight="1" s="29"/>
    <row r="604" ht="15.75" customHeight="1" s="29"/>
    <row r="605" ht="15.75" customHeight="1" s="29"/>
    <row r="606" ht="15.75" customHeight="1" s="29"/>
    <row r="607" ht="15.75" customHeight="1" s="29"/>
    <row r="608" ht="15.75" customHeight="1" s="29"/>
    <row r="609" ht="15.75" customHeight="1" s="29"/>
    <row r="610" ht="15.75" customHeight="1" s="29"/>
    <row r="611" ht="15.75" customHeight="1" s="29"/>
    <row r="612" ht="15.75" customHeight="1" s="29"/>
    <row r="613" ht="15.75" customHeight="1" s="29"/>
    <row r="614" ht="15.75" customHeight="1" s="29"/>
    <row r="615" ht="15.75" customHeight="1" s="29"/>
    <row r="616" ht="15.75" customHeight="1" s="29"/>
    <row r="617" ht="15.75" customHeight="1" s="29"/>
    <row r="618" ht="15.75" customHeight="1" s="29"/>
    <row r="619" ht="15.75" customHeight="1" s="29"/>
    <row r="620" ht="15.75" customHeight="1" s="29"/>
    <row r="621" ht="15.75" customHeight="1" s="29"/>
    <row r="622" ht="15.75" customHeight="1" s="29"/>
    <row r="623" ht="15.75" customHeight="1" s="29"/>
    <row r="624" ht="15.75" customHeight="1" s="29"/>
    <row r="625" ht="15.75" customHeight="1" s="29"/>
    <row r="626" ht="15.75" customHeight="1" s="29"/>
    <row r="627" ht="15.75" customHeight="1" s="29"/>
    <row r="628" ht="15.75" customHeight="1" s="29"/>
    <row r="629" ht="15.75" customHeight="1" s="29"/>
    <row r="630" ht="15.75" customHeight="1" s="29"/>
    <row r="631" ht="15.75" customHeight="1" s="29"/>
    <row r="632" ht="15.75" customHeight="1" s="29"/>
    <row r="633" ht="15.75" customHeight="1" s="29"/>
    <row r="634" ht="15.75" customHeight="1" s="29"/>
    <row r="635" ht="15.75" customHeight="1" s="29"/>
    <row r="636" ht="15.75" customHeight="1" s="29"/>
    <row r="637" ht="15.75" customHeight="1" s="29"/>
    <row r="638" ht="15.75" customHeight="1" s="29"/>
    <row r="639" ht="15.75" customHeight="1" s="29"/>
    <row r="640" ht="15.75" customHeight="1" s="29"/>
    <row r="641" ht="15.75" customHeight="1" s="29"/>
    <row r="642" ht="15.75" customHeight="1" s="29"/>
    <row r="643" ht="15.75" customHeight="1" s="29"/>
    <row r="644" ht="15.75" customHeight="1" s="29"/>
    <row r="645" ht="15.75" customHeight="1" s="29"/>
    <row r="646" ht="15.75" customHeight="1" s="29"/>
    <row r="647" ht="15.75" customHeight="1" s="29"/>
    <row r="648" ht="15.75" customHeight="1" s="29"/>
    <row r="649" ht="15.75" customHeight="1" s="29"/>
    <row r="650" ht="15.75" customHeight="1" s="29"/>
    <row r="651" ht="15.75" customHeight="1" s="29"/>
    <row r="652" ht="15.75" customHeight="1" s="29"/>
    <row r="653" ht="15.75" customHeight="1" s="29"/>
    <row r="654" ht="15.75" customHeight="1" s="29"/>
    <row r="655" ht="15.75" customHeight="1" s="29"/>
    <row r="656" ht="15.75" customHeight="1" s="29"/>
    <row r="657" ht="15.75" customHeight="1" s="29"/>
    <row r="658" ht="15.75" customHeight="1" s="29"/>
    <row r="659" ht="15.75" customHeight="1" s="29"/>
    <row r="660" ht="15.75" customHeight="1" s="29"/>
    <row r="661" ht="15.75" customHeight="1" s="29"/>
    <row r="662" ht="15.75" customHeight="1" s="29"/>
    <row r="663" ht="15.75" customHeight="1" s="29"/>
    <row r="664" ht="15.75" customHeight="1" s="29"/>
    <row r="665" ht="15.75" customHeight="1" s="29"/>
    <row r="666" ht="15.75" customHeight="1" s="29"/>
    <row r="667" ht="15.75" customHeight="1" s="29"/>
    <row r="668" ht="15.75" customHeight="1" s="29"/>
    <row r="669" ht="15.75" customHeight="1" s="29"/>
    <row r="670" ht="15.75" customHeight="1" s="29"/>
    <row r="671" ht="15.75" customHeight="1" s="29"/>
    <row r="672" ht="15.75" customHeight="1" s="29"/>
    <row r="673" ht="15.75" customHeight="1" s="29"/>
    <row r="674" ht="15.75" customHeight="1" s="29"/>
    <row r="675" ht="15.75" customHeight="1" s="29"/>
    <row r="676" ht="15.75" customHeight="1" s="29"/>
    <row r="677" ht="15.75" customHeight="1" s="29"/>
    <row r="678" ht="15.75" customHeight="1" s="29"/>
    <row r="679" ht="15.75" customHeight="1" s="29"/>
    <row r="680" ht="15.75" customHeight="1" s="29"/>
    <row r="681" ht="15.75" customHeight="1" s="29"/>
    <row r="682" ht="15.75" customHeight="1" s="29"/>
    <row r="683" ht="15.75" customHeight="1" s="29"/>
    <row r="684" ht="15.75" customHeight="1" s="29"/>
    <row r="685" ht="15.75" customHeight="1" s="29"/>
    <row r="686" ht="15.75" customHeight="1" s="29"/>
    <row r="687" ht="15.75" customHeight="1" s="29"/>
    <row r="688" ht="15.75" customHeight="1" s="29"/>
    <row r="689" ht="15.75" customHeight="1" s="29"/>
    <row r="690" ht="15.75" customHeight="1" s="29"/>
    <row r="691" ht="15.75" customHeight="1" s="29"/>
    <row r="692" ht="15.75" customHeight="1" s="29"/>
    <row r="693" ht="15.75" customHeight="1" s="29"/>
    <row r="694" ht="15.75" customHeight="1" s="29"/>
    <row r="695" ht="15.75" customHeight="1" s="29"/>
    <row r="696" ht="15.75" customHeight="1" s="29"/>
    <row r="697" ht="15.75" customHeight="1" s="29"/>
    <row r="698" ht="15.75" customHeight="1" s="29"/>
    <row r="699" ht="15.75" customHeight="1" s="29"/>
    <row r="700" ht="15.75" customHeight="1" s="29"/>
    <row r="701" ht="15.75" customHeight="1" s="29"/>
    <row r="702" ht="15.75" customHeight="1" s="29"/>
    <row r="703" ht="15.75" customHeight="1" s="29"/>
    <row r="704" ht="15.75" customHeight="1" s="29"/>
    <row r="705" ht="15.75" customHeight="1" s="29"/>
    <row r="706" ht="15.75" customHeight="1" s="29"/>
    <row r="707" ht="15.75" customHeight="1" s="29"/>
    <row r="708" ht="15.75" customHeight="1" s="29"/>
    <row r="709" ht="15.75" customHeight="1" s="29"/>
    <row r="710" ht="15.75" customHeight="1" s="29"/>
    <row r="711" ht="15.75" customHeight="1" s="29"/>
    <row r="712" ht="15.75" customHeight="1" s="29"/>
    <row r="713" ht="15.75" customHeight="1" s="29"/>
    <row r="714" ht="15.75" customHeight="1" s="29"/>
    <row r="715" ht="15.75" customHeight="1" s="29"/>
    <row r="716" ht="15.75" customHeight="1" s="29"/>
    <row r="717" ht="15.75" customHeight="1" s="29"/>
    <row r="718" ht="15.75" customHeight="1" s="29"/>
    <row r="719" ht="15.75" customHeight="1" s="29"/>
    <row r="720" ht="15.75" customHeight="1" s="29"/>
    <row r="721" ht="15.75" customHeight="1" s="29"/>
    <row r="722" ht="15.75" customHeight="1" s="29"/>
    <row r="723" ht="15.75" customHeight="1" s="29"/>
    <row r="724" ht="15.75" customHeight="1" s="29"/>
    <row r="725" ht="15.75" customHeight="1" s="29"/>
    <row r="726" ht="15.75" customHeight="1" s="29"/>
    <row r="727" ht="15.75" customHeight="1" s="29"/>
    <row r="728" ht="15.75" customHeight="1" s="29"/>
    <row r="729" ht="15.75" customHeight="1" s="29"/>
    <row r="730" ht="15.75" customHeight="1" s="29"/>
    <row r="731" ht="15.75" customHeight="1" s="29"/>
    <row r="732" ht="15.75" customHeight="1" s="29"/>
    <row r="733" ht="15.75" customHeight="1" s="29"/>
    <row r="734" ht="15.75" customHeight="1" s="29"/>
    <row r="735" ht="15.75" customHeight="1" s="29"/>
    <row r="736" ht="15.75" customHeight="1" s="29"/>
    <row r="737" ht="15.75" customHeight="1" s="29"/>
    <row r="738" ht="15.75" customHeight="1" s="29"/>
    <row r="739" ht="15.75" customHeight="1" s="29"/>
    <row r="740" ht="15.75" customHeight="1" s="29"/>
    <row r="741" ht="15.75" customHeight="1" s="29"/>
    <row r="742" ht="15.75" customHeight="1" s="29"/>
    <row r="743" ht="15.75" customHeight="1" s="29"/>
    <row r="744" ht="15.75" customHeight="1" s="29"/>
    <row r="745" ht="15.75" customHeight="1" s="29"/>
    <row r="746" ht="15.75" customHeight="1" s="29"/>
    <row r="747" ht="15.75" customHeight="1" s="29"/>
    <row r="748" ht="15.75" customHeight="1" s="29"/>
    <row r="749" ht="15.75" customHeight="1" s="29"/>
    <row r="750" ht="15.75" customHeight="1" s="29"/>
    <row r="751" ht="15.75" customHeight="1" s="29"/>
    <row r="752" ht="15.75" customHeight="1" s="29"/>
    <row r="753" ht="15.75" customHeight="1" s="29"/>
    <row r="754" ht="15.75" customHeight="1" s="29"/>
    <row r="755" ht="15.75" customHeight="1" s="29"/>
    <row r="756" ht="15.75" customHeight="1" s="29"/>
    <row r="757" ht="15.75" customHeight="1" s="29"/>
    <row r="758" ht="15.75" customHeight="1" s="29"/>
    <row r="759" ht="15.75" customHeight="1" s="29"/>
    <row r="760" ht="15.75" customHeight="1" s="29"/>
    <row r="761" ht="15.75" customHeight="1" s="29"/>
    <row r="762" ht="15.75" customHeight="1" s="29"/>
    <row r="763" ht="15.75" customHeight="1" s="29"/>
    <row r="764" ht="15.75" customHeight="1" s="29"/>
    <row r="765" ht="15.75" customHeight="1" s="29"/>
    <row r="766" ht="15.75" customHeight="1" s="29"/>
    <row r="767" ht="15.75" customHeight="1" s="29"/>
    <row r="768" ht="15.75" customHeight="1" s="29"/>
    <row r="769" ht="15.75" customHeight="1" s="29"/>
    <row r="770" ht="15.75" customHeight="1" s="29"/>
    <row r="771" ht="15.75" customHeight="1" s="29"/>
    <row r="772" ht="15.75" customHeight="1" s="29"/>
    <row r="773" ht="15.75" customHeight="1" s="29"/>
    <row r="774" ht="15.75" customHeight="1" s="29"/>
    <row r="775" ht="15.75" customHeight="1" s="29"/>
    <row r="776" ht="15.75" customHeight="1" s="29"/>
    <row r="777" ht="15.75" customHeight="1" s="29"/>
    <row r="778" ht="15.75" customHeight="1" s="29"/>
    <row r="779" ht="15.75" customHeight="1" s="29"/>
    <row r="780" ht="15.75" customHeight="1" s="29"/>
    <row r="781" ht="15.75" customHeight="1" s="29"/>
    <row r="782" ht="15.75" customHeight="1" s="29"/>
    <row r="783" ht="15.75" customHeight="1" s="29"/>
    <row r="784" ht="15.75" customHeight="1" s="29"/>
    <row r="785" ht="15.75" customHeight="1" s="29"/>
    <row r="786" ht="15.75" customHeight="1" s="29"/>
    <row r="787" ht="15.75" customHeight="1" s="29"/>
    <row r="788" ht="15.75" customHeight="1" s="29"/>
    <row r="789" ht="15.75" customHeight="1" s="29"/>
    <row r="790" ht="15.75" customHeight="1" s="29"/>
    <row r="791" ht="15.75" customHeight="1" s="29"/>
    <row r="792" ht="15.75" customHeight="1" s="29"/>
    <row r="793" ht="15.75" customHeight="1" s="29"/>
    <row r="794" ht="15.75" customHeight="1" s="29"/>
    <row r="795" ht="15.75" customHeight="1" s="29"/>
    <row r="796" ht="15.75" customHeight="1" s="29"/>
    <row r="797" ht="15.75" customHeight="1" s="29"/>
    <row r="798" ht="15.75" customHeight="1" s="29"/>
    <row r="799" ht="15.75" customHeight="1" s="29"/>
    <row r="800" ht="15.75" customHeight="1" s="29"/>
    <row r="801" ht="15.75" customHeight="1" s="29"/>
    <row r="802" ht="15.75" customHeight="1" s="29"/>
    <row r="803" ht="15.75" customHeight="1" s="29"/>
    <row r="804" ht="15.75" customHeight="1" s="29"/>
    <row r="805" ht="15.75" customHeight="1" s="29"/>
    <row r="806" ht="15.75" customHeight="1" s="29"/>
    <row r="807" ht="15.75" customHeight="1" s="29"/>
    <row r="808" ht="15.75" customHeight="1" s="29"/>
    <row r="809" ht="15.75" customHeight="1" s="29"/>
    <row r="810" ht="15.75" customHeight="1" s="29"/>
    <row r="811" ht="15.75" customHeight="1" s="29"/>
    <row r="812" ht="15.75" customHeight="1" s="29"/>
    <row r="813" ht="15.75" customHeight="1" s="29"/>
    <row r="814" ht="15.75" customHeight="1" s="29"/>
    <row r="815" ht="15.75" customHeight="1" s="29"/>
    <row r="816" ht="15.75" customHeight="1" s="29"/>
    <row r="817" ht="15.75" customHeight="1" s="29"/>
    <row r="818" ht="15.75" customHeight="1" s="29"/>
    <row r="819" ht="15.75" customHeight="1" s="29"/>
    <row r="820" ht="15.75" customHeight="1" s="29"/>
    <row r="821" ht="15.75" customHeight="1" s="29"/>
    <row r="822" ht="15.75" customHeight="1" s="29"/>
    <row r="823" ht="15.75" customHeight="1" s="29"/>
    <row r="824" ht="15.75" customHeight="1" s="29"/>
    <row r="825" ht="15.75" customHeight="1" s="29"/>
    <row r="826" ht="15.75" customHeight="1" s="29"/>
    <row r="827" ht="15.75" customHeight="1" s="29"/>
    <row r="828" ht="15.75" customHeight="1" s="29"/>
    <row r="829" ht="15.75" customHeight="1" s="29"/>
    <row r="830" ht="15.75" customHeight="1" s="29"/>
    <row r="831" ht="15.75" customHeight="1" s="29"/>
    <row r="832" ht="15.75" customHeight="1" s="29"/>
    <row r="833" ht="15.75" customHeight="1" s="29"/>
    <row r="834" ht="15.75" customHeight="1" s="29"/>
    <row r="835" ht="15.75" customHeight="1" s="29"/>
    <row r="836" ht="15.75" customHeight="1" s="29"/>
    <row r="837" ht="15.75" customHeight="1" s="29"/>
    <row r="838" ht="15.75" customHeight="1" s="29"/>
    <row r="839" ht="15.75" customHeight="1" s="29"/>
    <row r="840" ht="15.75" customHeight="1" s="29"/>
    <row r="841" ht="15.75" customHeight="1" s="29"/>
    <row r="842" ht="15.75" customHeight="1" s="29"/>
    <row r="843" ht="15.75" customHeight="1" s="29"/>
    <row r="844" ht="15.75" customHeight="1" s="29"/>
    <row r="845" ht="15.75" customHeight="1" s="29"/>
    <row r="846" ht="15.75" customHeight="1" s="29"/>
    <row r="847" ht="15.75" customHeight="1" s="29"/>
    <row r="848" ht="15.75" customHeight="1" s="29"/>
    <row r="849" ht="15.75" customHeight="1" s="29"/>
    <row r="850" ht="15.75" customHeight="1" s="29"/>
    <row r="851" ht="15.75" customHeight="1" s="29"/>
    <row r="852" ht="15.75" customHeight="1" s="29"/>
    <row r="853" ht="15.75" customHeight="1" s="29"/>
    <row r="854" ht="15.75" customHeight="1" s="29"/>
    <row r="855" ht="15.75" customHeight="1" s="29"/>
    <row r="856" ht="15.75" customHeight="1" s="29"/>
    <row r="857" ht="15.75" customHeight="1" s="29"/>
    <row r="858" ht="15.75" customHeight="1" s="29"/>
    <row r="859" ht="15.75" customHeight="1" s="29"/>
    <row r="860" ht="15.75" customHeight="1" s="29"/>
    <row r="861" ht="15.75" customHeight="1" s="29"/>
    <row r="862" ht="15.75" customHeight="1" s="29"/>
    <row r="863" ht="15.75" customHeight="1" s="29"/>
    <row r="864" ht="15.75" customHeight="1" s="29"/>
    <row r="865" ht="15.75" customHeight="1" s="29"/>
    <row r="866" ht="15.75" customHeight="1" s="29"/>
    <row r="867" ht="15.75" customHeight="1" s="29"/>
    <row r="868" ht="15.75" customHeight="1" s="29"/>
    <row r="869" ht="15.75" customHeight="1" s="29"/>
    <row r="870" ht="15.75" customHeight="1" s="29"/>
    <row r="871" ht="15.75" customHeight="1" s="29"/>
    <row r="872" ht="15.75" customHeight="1" s="29"/>
    <row r="873" ht="15.75" customHeight="1" s="29"/>
    <row r="874" ht="15.75" customHeight="1" s="29"/>
    <row r="875" ht="15.75" customHeight="1" s="29"/>
    <row r="876" ht="15.75" customHeight="1" s="29"/>
    <row r="877" ht="15.75" customHeight="1" s="29"/>
    <row r="878" ht="15.75" customHeight="1" s="29"/>
    <row r="879" ht="15.75" customHeight="1" s="29"/>
    <row r="880" ht="15.75" customHeight="1" s="29"/>
    <row r="881" ht="15.75" customHeight="1" s="29"/>
    <row r="882" ht="15.75" customHeight="1" s="29"/>
    <row r="883" ht="15.75" customHeight="1" s="29"/>
    <row r="884" ht="15.75" customHeight="1" s="29"/>
    <row r="885" ht="15.75" customHeight="1" s="29"/>
    <row r="886" ht="15.75" customHeight="1" s="29"/>
    <row r="887" ht="15.75" customHeight="1" s="29"/>
    <row r="888" ht="15.75" customHeight="1" s="29"/>
    <row r="889" ht="15.75" customHeight="1" s="29"/>
    <row r="890" ht="15.75" customHeight="1" s="29"/>
    <row r="891" ht="15.75" customHeight="1" s="29"/>
    <row r="892" ht="15.75" customHeight="1" s="29"/>
    <row r="893" ht="15.75" customHeight="1" s="29"/>
    <row r="894" ht="15.75" customHeight="1" s="29"/>
    <row r="895" ht="15.75" customHeight="1" s="29"/>
    <row r="896" ht="15.75" customHeight="1" s="29"/>
    <row r="897" ht="15.75" customHeight="1" s="29"/>
    <row r="898" ht="15.75" customHeight="1" s="29"/>
    <row r="899" ht="15.75" customHeight="1" s="29"/>
    <row r="900" ht="15.75" customHeight="1" s="29"/>
    <row r="901" ht="15.75" customHeight="1" s="29"/>
    <row r="902" ht="15.75" customHeight="1" s="29"/>
    <row r="903" ht="15.75" customHeight="1" s="29"/>
    <row r="904" ht="15.75" customHeight="1" s="29"/>
    <row r="905" ht="15.75" customHeight="1" s="29"/>
    <row r="906" ht="15.75" customHeight="1" s="29"/>
    <row r="907" ht="15.75" customHeight="1" s="29"/>
    <row r="908" ht="15.75" customHeight="1" s="29"/>
    <row r="909" ht="15.75" customHeight="1" s="29"/>
    <row r="910" ht="15.75" customHeight="1" s="29"/>
    <row r="911" ht="15.75" customHeight="1" s="29"/>
    <row r="912" ht="15.75" customHeight="1" s="29"/>
    <row r="913" ht="15.75" customHeight="1" s="29"/>
    <row r="914" ht="15.75" customHeight="1" s="29"/>
    <row r="915" ht="15.75" customHeight="1" s="29"/>
    <row r="916" ht="15.75" customHeight="1" s="29"/>
    <row r="917" ht="15.75" customHeight="1" s="29"/>
    <row r="918" ht="15.75" customHeight="1" s="29"/>
    <row r="919" ht="15.75" customHeight="1" s="29"/>
    <row r="920" ht="15.75" customHeight="1" s="29"/>
    <row r="921" ht="15.75" customHeight="1" s="29"/>
    <row r="922" ht="15.75" customHeight="1" s="29"/>
    <row r="923" ht="15.75" customHeight="1" s="29"/>
    <row r="924" ht="15.75" customHeight="1" s="29"/>
    <row r="925" ht="15.75" customHeight="1" s="29"/>
    <row r="926" ht="15.75" customHeight="1" s="29"/>
    <row r="927" ht="15.75" customHeight="1" s="29"/>
    <row r="928" ht="15.75" customHeight="1" s="29"/>
    <row r="929" ht="15.75" customHeight="1" s="29"/>
    <row r="930" ht="15.75" customHeight="1" s="29"/>
    <row r="931" ht="15.75" customHeight="1" s="29"/>
    <row r="932" ht="15.75" customHeight="1" s="29"/>
    <row r="933" ht="15.75" customHeight="1" s="29"/>
    <row r="934" ht="15.75" customHeight="1" s="29"/>
    <row r="935" ht="15.75" customHeight="1" s="29"/>
    <row r="936" ht="15.75" customHeight="1" s="29"/>
    <row r="937" ht="15.75" customHeight="1" s="29"/>
    <row r="938" ht="15.75" customHeight="1" s="29"/>
    <row r="939" ht="15.75" customHeight="1" s="29"/>
    <row r="940" ht="15.75" customHeight="1" s="29"/>
    <row r="941" ht="15.75" customHeight="1" s="29"/>
    <row r="942" ht="15.75" customHeight="1" s="29"/>
    <row r="943" ht="15.75" customHeight="1" s="29"/>
    <row r="944" ht="15.75" customHeight="1" s="29"/>
    <row r="945" ht="15.75" customHeight="1" s="29"/>
    <row r="946" ht="15.75" customHeight="1" s="29"/>
    <row r="947" ht="15.75" customHeight="1" s="29"/>
    <row r="948" ht="15.75" customHeight="1" s="29"/>
    <row r="949" ht="15.75" customHeight="1" s="29"/>
    <row r="950" ht="15.75" customHeight="1" s="29"/>
    <row r="951" ht="15.75" customHeight="1" s="29"/>
    <row r="952" ht="15.75" customHeight="1" s="29"/>
    <row r="953" ht="15.75" customHeight="1" s="29"/>
    <row r="954" ht="15.75" customHeight="1" s="29"/>
    <row r="955" ht="15.75" customHeight="1" s="29"/>
    <row r="956" ht="15.75" customHeight="1" s="29"/>
    <row r="957" ht="15.75" customHeight="1" s="29"/>
    <row r="958" ht="15.75" customHeight="1" s="29"/>
    <row r="959" ht="15.75" customHeight="1" s="29"/>
    <row r="960" ht="15.75" customHeight="1" s="29"/>
    <row r="961" ht="15.75" customHeight="1" s="29"/>
    <row r="962" ht="15.75" customHeight="1" s="29"/>
    <row r="963" ht="15.75" customHeight="1" s="29"/>
    <row r="964" ht="15.75" customHeight="1" s="29"/>
    <row r="965" ht="15.75" customHeight="1" s="29"/>
    <row r="966" ht="15.75" customHeight="1" s="29"/>
    <row r="967" ht="15.75" customHeight="1" s="29"/>
    <row r="968" ht="15.75" customHeight="1" s="29"/>
    <row r="969" ht="15.75" customHeight="1" s="29"/>
    <row r="970" ht="15.75" customHeight="1" s="29"/>
    <row r="971" ht="15.75" customHeight="1" s="29"/>
    <row r="972" ht="15.75" customHeight="1" s="29"/>
    <row r="973" ht="15.75" customHeight="1" s="29"/>
    <row r="974" ht="15.75" customHeight="1" s="29"/>
    <row r="975" ht="15.75" customHeight="1" s="29"/>
    <row r="976" ht="15.75" customHeight="1" s="29"/>
    <row r="977" ht="15.75" customHeight="1" s="29"/>
    <row r="978" ht="15.75" customHeight="1" s="29"/>
    <row r="979" ht="15.75" customHeight="1" s="29"/>
    <row r="980" ht="15.75" customHeight="1" s="29"/>
    <row r="981" ht="15.75" customHeight="1" s="29"/>
    <row r="982" ht="15.75" customHeight="1" s="29"/>
    <row r="983" ht="15.75" customHeight="1" s="29"/>
    <row r="984" ht="15.75" customHeight="1" s="29"/>
    <row r="985" ht="15.75" customHeight="1" s="29"/>
    <row r="986" ht="15.75" customHeight="1" s="29"/>
    <row r="987" ht="15.75" customHeight="1" s="29"/>
    <row r="988" ht="15.75" customHeight="1" s="29"/>
    <row r="989" ht="15.75" customHeight="1" s="29"/>
    <row r="990" ht="15.75" customHeight="1" s="29"/>
    <row r="991" ht="15.75" customHeight="1" s="29"/>
    <row r="992" ht="15.75" customHeight="1" s="29"/>
    <row r="993" ht="15.75" customHeight="1" s="29"/>
    <row r="994" ht="15.75" customHeight="1" s="29"/>
    <row r="995" ht="15.75" customHeight="1" s="29"/>
    <row r="996" ht="15.75" customHeight="1" s="29"/>
    <row r="997" ht="15.75" customHeight="1" s="29"/>
    <row r="998" ht="15.75" customHeight="1" s="29"/>
    <row r="999" ht="15.75" customHeight="1" s="29"/>
    <row r="1000" ht="15.75" customHeight="1" s="29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ColWidth="14.43" defaultRowHeight="15" customHeight="1"/>
  <cols>
    <col width="104" customWidth="1" style="29" min="1" max="1"/>
    <col width="49" customWidth="1" style="29" min="2" max="2"/>
    <col width="56" customWidth="1" style="29" min="3" max="3"/>
    <col width="13" customWidth="1" style="29" min="4" max="4"/>
    <col width="12" customWidth="1" style="29" min="5" max="5"/>
    <col width="27" customWidth="1" style="29" min="6" max="6"/>
    <col width="16" customWidth="1" style="29" min="7" max="7"/>
    <col width="27" customWidth="1" style="29" min="8" max="9"/>
    <col width="32" customWidth="1" style="29" min="10" max="10"/>
    <col width="8.710000000000001" customWidth="1" style="29" min="11" max="26"/>
  </cols>
  <sheetData>
    <row r="1">
      <c r="A1" s="1" t="inlineStr">
        <is>
          <t>BẢNG CHÀO GIÁ VÀ DỰ TOÁN CHI TIẾT THEO WBS (46 WORK PACKAGES)</t>
        </is>
      </c>
    </row>
    <row r="2">
      <c r="A2" s="2" t="inlineStr">
        <is>
          <t>Minh bạch chi tiết Giá trước VAT - Thuế suất VAT - Tiền thuế VAT - Giá sau VAT cho từng gói công việc</t>
        </is>
      </c>
    </row>
    <row r="4">
      <c r="A4" s="4" t="inlineStr">
        <is>
          <t>STT WBS</t>
        </is>
      </c>
      <c r="B4" s="4" t="inlineStr">
        <is>
          <t>Hạng Mục / Công Việc Chi Tiết</t>
        </is>
      </c>
      <c r="C4" s="4" t="inlineStr">
        <is>
          <t>Mô Tả Kỹ Thuật / Deliverables</t>
        </is>
      </c>
      <c r="D4" s="4" t="inlineStr">
        <is>
          <t>Khối Lượng</t>
        </is>
      </c>
      <c r="E4" s="4" t="inlineStr">
        <is>
          <t>ĐVT</t>
        </is>
      </c>
      <c r="F4" s="4" t="inlineStr">
        <is>
          <t>Giá Trước VAT (VNĐ)</t>
        </is>
      </c>
      <c r="G4" s="4" t="inlineStr">
        <is>
          <t>Thuế Suất VAT</t>
        </is>
      </c>
      <c r="H4" s="4" t="inlineStr">
        <is>
          <t>Tiền Thuế VAT (VNĐ)</t>
        </is>
      </c>
      <c r="I4" s="4" t="inlineStr">
        <is>
          <t>Giá Sau VAT (VNĐ)</t>
        </is>
      </c>
      <c r="J4" s="4" t="inlineStr">
        <is>
          <t>Tỷ Trọng (%)</t>
        </is>
      </c>
    </row>
    <row r="5">
      <c r="A5" s="36" t="inlineStr">
        <is>
          <t>1</t>
        </is>
      </c>
      <c r="B5" s="37" t="inlineStr">
        <is>
          <t>Phân tích hệ thống (System Analysis)</t>
        </is>
      </c>
    </row>
    <row r="6">
      <c r="A6" s="38" t="inlineStr">
        <is>
          <t>1.1</t>
        </is>
      </c>
      <c r="B6" s="39" t="inlineStr">
        <is>
          <t>Khảo sát hiện trạng</t>
        </is>
      </c>
      <c r="C6" s="39" t="inlineStr">
        <is>
          <t>Hội thảo nghiệp vụ, khảo sát Main System và chi nhánh, báo cáo hiện trạng</t>
        </is>
      </c>
      <c r="D6" s="38" t="n">
        <v>1</v>
      </c>
      <c r="E6" s="38" t="inlineStr">
        <is>
          <t>Gói</t>
        </is>
      </c>
      <c r="F6" s="40" t="n">
        <v>32727272.73</v>
      </c>
      <c r="G6" s="41" t="n">
        <v>0.1</v>
      </c>
      <c r="H6" s="40">
        <f>ROUND(F6*G6, 0)</f>
        <v/>
      </c>
      <c r="I6" s="40" t="n">
        <v>36000000</v>
      </c>
      <c r="J6" s="42">
        <f>I6/$I$64</f>
        <v/>
      </c>
    </row>
    <row r="7">
      <c r="A7" s="38" t="inlineStr">
        <is>
          <t>1.2</t>
        </is>
      </c>
      <c r="B7" s="39" t="inlineStr">
        <is>
          <t>Đặc tả yêu cầu chức năng (SRS)</t>
        </is>
      </c>
      <c r="C7" s="39" t="inlineStr">
        <is>
          <t>Đặc tả sản phẩm, đơn hàng, khách hàng và thông báo</t>
        </is>
      </c>
      <c r="D7" s="38" t="n">
        <v>1</v>
      </c>
      <c r="E7" s="38" t="inlineStr">
        <is>
          <t>Gói</t>
        </is>
      </c>
      <c r="F7" s="40" t="n">
        <v>40000000</v>
      </c>
      <c r="G7" s="41" t="n">
        <v>0.1</v>
      </c>
      <c r="H7" s="40">
        <f>ROUND(F7*G7, 0)</f>
        <v/>
      </c>
      <c r="I7" s="40" t="n">
        <v>44000000</v>
      </c>
      <c r="J7" s="42">
        <f>I7/$I$64</f>
        <v/>
      </c>
    </row>
    <row r="8">
      <c r="A8" s="38" t="inlineStr">
        <is>
          <t>1.3</t>
        </is>
      </c>
      <c r="B8" s="39" t="inlineStr">
        <is>
          <t>Đặc tả tích hợp, NFR và luồng mới</t>
        </is>
      </c>
      <c r="C8" s="39" t="inlineStr">
        <is>
          <t>Kết nối Main System; sẵn sàng 24/7; đáp ứng không quá 2 giây; bảo mật và dữ liệu cá nhân; luồng vận hành mới</t>
        </is>
      </c>
      <c r="D8" s="38" t="n">
        <v>1</v>
      </c>
      <c r="E8" s="38" t="inlineStr">
        <is>
          <t>Gói</t>
        </is>
      </c>
      <c r="F8" s="40" t="n">
        <v>30909090.91</v>
      </c>
      <c r="G8" s="41" t="n">
        <v>0.1</v>
      </c>
      <c r="H8" s="40">
        <f>ROUND(F8*G8, 0)</f>
        <v/>
      </c>
      <c r="I8" s="40" t="n">
        <v>34000000</v>
      </c>
      <c r="J8" s="42">
        <f>I8/$I$64</f>
        <v/>
      </c>
    </row>
    <row r="9">
      <c r="A9" s="38" t="inlineStr">
        <is>
          <t>1.4</t>
        </is>
      </c>
      <c r="B9" s="39" t="inlineStr">
        <is>
          <t>Xác lập Product Backlog nền tảng</t>
        </is>
      </c>
      <c r="C9" s="39" t="inlineStr">
        <is>
          <t>Rà soát, thống nhất đặc tả yêu cầu, Product Backlog và Định nghĩa Hoàn thành</t>
        </is>
      </c>
      <c r="D9" s="38" t="n">
        <v>1</v>
      </c>
      <c r="E9" s="38" t="inlineStr">
        <is>
          <t>Gói</t>
        </is>
      </c>
      <c r="F9" s="40" t="n">
        <v>14545454.55</v>
      </c>
      <c r="G9" s="41" t="n">
        <v>0.1</v>
      </c>
      <c r="H9" s="40">
        <f>ROUND(F9*G9, 0)</f>
        <v/>
      </c>
      <c r="I9" s="40" t="n">
        <v>16000000</v>
      </c>
      <c r="J9" s="42">
        <f>I9/$I$64</f>
        <v/>
      </c>
    </row>
    <row r="10">
      <c r="A10" s="43" t="n"/>
      <c r="B10" s="44" t="inlineStr">
        <is>
          <t>CỘNG PHÂN TÍCH HỆ THỐNG (SYSTEM ANALYSIS)</t>
        </is>
      </c>
      <c r="C10" s="43" t="n"/>
      <c r="D10" s="43" t="n"/>
      <c r="E10" s="43" t="n"/>
      <c r="F10" s="45">
        <f>SUM(F6:F9)</f>
        <v/>
      </c>
      <c r="G10" s="46" t="n">
        <v>0.1</v>
      </c>
      <c r="H10" s="45">
        <f>SUM(H6:H9)</f>
        <v/>
      </c>
      <c r="I10" s="45">
        <f>SUM(I6:I9)</f>
        <v/>
      </c>
      <c r="J10" s="47">
        <f>I10/$I$64</f>
        <v/>
      </c>
    </row>
    <row r="11">
      <c r="A11" s="36" t="inlineStr">
        <is>
          <t>2</t>
        </is>
      </c>
      <c r="B11" s="37" t="inlineStr">
        <is>
          <t>Thiết kế &amp; Phát triển Web Selling Site System</t>
        </is>
      </c>
    </row>
    <row r="12">
      <c r="A12" s="38" t="inlineStr">
        <is>
          <t>2.1</t>
        </is>
      </c>
      <c r="B12" s="39" t="inlineStr">
        <is>
          <t>Thiết kế kiến trúc và an toàn thông tin</t>
        </is>
      </c>
      <c r="C12" s="39" t="inlineStr">
        <is>
          <t>Kiến trúc sẵn sàng 24/7, tính toán quy mô, bảo vệ dữ liệu cá nhân, giám sát và sao lưu</t>
        </is>
      </c>
      <c r="D12" s="38" t="n">
        <v>1</v>
      </c>
      <c r="E12" s="38" t="inlineStr">
        <is>
          <t>Gói</t>
        </is>
      </c>
      <c r="F12" s="40" t="n">
        <v>33636363.64</v>
      </c>
      <c r="G12" s="41" t="n">
        <v>0.1</v>
      </c>
      <c r="H12" s="40">
        <f>ROUND(F12*G12, 0)</f>
        <v/>
      </c>
      <c r="I12" s="40" t="n">
        <v>37000000</v>
      </c>
      <c r="J12" s="42">
        <f>I12/$I$64</f>
        <v/>
      </c>
    </row>
    <row r="13">
      <c r="A13" s="38" t="inlineStr">
        <is>
          <t>2.2</t>
        </is>
      </c>
      <c r="B13" s="39" t="inlineStr">
        <is>
          <t>Thiết kế Selling DB</t>
        </is>
      </c>
      <c r="C13" s="39" t="inlineStr">
        <is>
          <t>Mô hình logic và vật lý, từ điển dữ liệu, phân quyền truy cập</t>
        </is>
      </c>
      <c r="D13" s="38" t="n">
        <v>1</v>
      </c>
      <c r="E13" s="38" t="inlineStr">
        <is>
          <t>Gói</t>
        </is>
      </c>
      <c r="F13" s="40" t="n">
        <v>21818181.82</v>
      </c>
      <c r="G13" s="41" t="n">
        <v>0.1</v>
      </c>
      <c r="H13" s="40">
        <f>ROUND(F13*G13, 0)</f>
        <v/>
      </c>
      <c r="I13" s="40" t="n">
        <v>24000000</v>
      </c>
      <c r="J13" s="42">
        <f>I13/$I$64</f>
        <v/>
      </c>
    </row>
    <row r="14">
      <c r="A14" s="38" t="inlineStr">
        <is>
          <t>2.3</t>
        </is>
      </c>
      <c r="B14" s="39" t="inlineStr">
        <is>
          <t>Thiết kế giao diện và Menu Layer</t>
        </is>
      </c>
      <c r="C14" s="39" t="inlineStr">
        <is>
          <t>Sơ đồ trang, khung dây luồng mua, bản mẫu sản phẩm, đơn hàng và khách hàng</t>
        </is>
      </c>
      <c r="D14" s="38" t="n">
        <v>1</v>
      </c>
      <c r="E14" s="38" t="inlineStr">
        <is>
          <t>Gói</t>
        </is>
      </c>
      <c r="F14" s="40" t="n">
        <v>52727272.73</v>
      </c>
      <c r="G14" s="41" t="n">
        <v>0.1</v>
      </c>
      <c r="H14" s="40">
        <f>ROUND(F14*G14, 0)</f>
        <v/>
      </c>
      <c r="I14" s="40" t="n">
        <v>58000000</v>
      </c>
      <c r="J14" s="42">
        <f>I14/$I$64</f>
        <v/>
      </c>
    </row>
    <row r="15">
      <c r="A15" s="38" t="inlineStr">
        <is>
          <t>2.4</t>
        </is>
      </c>
      <c r="B15" s="39" t="inlineStr">
        <is>
          <t>Thiết kế chi tiết và phê duyệt</t>
        </is>
      </c>
      <c r="C15" s="39" t="inlineStr">
        <is>
          <t>Thiết kế chi tiết theo phân hệ; rà soát kiến trúc, cơ sở dữ liệu và đặc tả giao tiếp</t>
        </is>
      </c>
      <c r="D15" s="38" t="n">
        <v>1</v>
      </c>
      <c r="E15" s="38" t="inlineStr">
        <is>
          <t>Gói</t>
        </is>
      </c>
      <c r="F15" s="40" t="n">
        <v>36363636.36</v>
      </c>
      <c r="G15" s="41" t="n">
        <v>0.1</v>
      </c>
      <c r="H15" s="40">
        <f>ROUND(F15*G15, 0)</f>
        <v/>
      </c>
      <c r="I15" s="40" t="n">
        <v>40000000</v>
      </c>
      <c r="J15" s="42">
        <f>I15/$I$64</f>
        <v/>
      </c>
    </row>
    <row r="16">
      <c r="A16" s="38" t="inlineStr">
        <is>
          <t>2.5</t>
        </is>
      </c>
      <c r="B16" s="39" t="inlineStr">
        <is>
          <t>Môi trường và khung ứng dụng</t>
        </is>
      </c>
      <c r="C16" s="39" t="inlineStr">
        <is>
          <t>Môi trường DEV, SIT, UAT, PROD, đường ống CI/CD, khung ứng dụng, giả lập Main System; gồm chi phí đám mây</t>
        </is>
      </c>
      <c r="D16" s="38" t="n">
        <v>1</v>
      </c>
      <c r="E16" s="38" t="inlineStr">
        <is>
          <t>Gói</t>
        </is>
      </c>
      <c r="F16" s="40" t="n">
        <v>72727272.73</v>
      </c>
      <c r="G16" s="41" t="n">
        <v>0.1</v>
      </c>
      <c r="H16" s="40">
        <f>ROUND(F16*G16, 0)</f>
        <v/>
      </c>
      <c r="I16" s="40" t="n">
        <v>80000000</v>
      </c>
      <c r="J16" s="42">
        <f>I16/$I$64</f>
        <v/>
      </c>
    </row>
    <row r="17">
      <c r="A17" s="38" t="inlineStr">
        <is>
          <t>2.6</t>
        </is>
      </c>
      <c r="B17" s="39" t="inlineStr">
        <is>
          <t>Đăng ký tài khoản</t>
        </is>
      </c>
      <c r="C17" s="39" t="inlineStr">
        <is>
          <t>Giao diện đăng ký, API và xác thực OTP hiệu lực 05 phút</t>
        </is>
      </c>
      <c r="D17" s="38" t="n">
        <v>1</v>
      </c>
      <c r="E17" s="38" t="inlineStr">
        <is>
          <t>Tính năng</t>
        </is>
      </c>
      <c r="F17" s="40" t="n">
        <v>10909090.91</v>
      </c>
      <c r="G17" s="41" t="n">
        <v>0.1</v>
      </c>
      <c r="H17" s="40">
        <f>ROUND(F17*G17, 0)</f>
        <v/>
      </c>
      <c r="I17" s="40" t="n">
        <v>12000000</v>
      </c>
      <c r="J17" s="42">
        <f>I17/$I$64</f>
        <v/>
      </c>
    </row>
    <row r="18">
      <c r="A18" s="38" t="inlineStr">
        <is>
          <t>2.7</t>
        </is>
      </c>
      <c r="B18" s="39" t="inlineStr">
        <is>
          <t>Đăng nhập và quản lý phiên</t>
        </is>
      </c>
      <c r="C18" s="39" t="inlineStr">
        <is>
          <t>Đăng nhập, đăng xuất, Refresh Token, khóa tài khoản khi đăng nhập sai quá 5 lần</t>
        </is>
      </c>
      <c r="D18" s="38" t="n">
        <v>1</v>
      </c>
      <c r="E18" s="38" t="inlineStr">
        <is>
          <t>Tính năng</t>
        </is>
      </c>
      <c r="F18" s="40" t="n">
        <v>9545454.550000001</v>
      </c>
      <c r="G18" s="41" t="n">
        <v>0.1</v>
      </c>
      <c r="H18" s="40">
        <f>ROUND(F18*G18, 0)</f>
        <v/>
      </c>
      <c r="I18" s="40" t="n">
        <v>10500000</v>
      </c>
      <c r="J18" s="42">
        <f>I18/$I$64</f>
        <v/>
      </c>
    </row>
    <row r="19">
      <c r="A19" s="38" t="inlineStr">
        <is>
          <t>2.8</t>
        </is>
      </c>
      <c r="B19" s="39" t="inlineStr">
        <is>
          <t>Quên mật khẩu và đổi mật khẩu</t>
        </is>
      </c>
      <c r="C19" s="39" t="inlineStr">
        <is>
          <t>Đặt lại mật khẩu bằng mã xác nhận có thời hạn</t>
        </is>
      </c>
      <c r="D19" s="38" t="n">
        <v>1</v>
      </c>
      <c r="E19" s="38" t="inlineStr">
        <is>
          <t>Tính năng</t>
        </is>
      </c>
      <c r="F19" s="40" t="n">
        <v>5454545.45</v>
      </c>
      <c r="G19" s="41" t="n">
        <v>0.1</v>
      </c>
      <c r="H19" s="40">
        <f>ROUND(F19*G19, 0)</f>
        <v/>
      </c>
      <c r="I19" s="40" t="n">
        <v>6000000</v>
      </c>
      <c r="J19" s="42">
        <f>I19/$I$64</f>
        <v/>
      </c>
    </row>
    <row r="20">
      <c r="A20" s="38" t="inlineStr">
        <is>
          <t>2.9</t>
        </is>
      </c>
      <c r="B20" s="39" t="inlineStr">
        <is>
          <t>Hồ sơ cá nhân và sổ địa chỉ</t>
        </is>
      </c>
      <c r="C20" s="39" t="inlineStr">
        <is>
          <t>Cập nhật hồ sơ và quản lý nhiều địa chỉ giao hàng</t>
        </is>
      </c>
      <c r="D20" s="38" t="n">
        <v>1</v>
      </c>
      <c r="E20" s="38" t="inlineStr">
        <is>
          <t>Tính năng</t>
        </is>
      </c>
      <c r="F20" s="40" t="n">
        <v>9545454.550000001</v>
      </c>
      <c r="G20" s="41" t="n">
        <v>0.1</v>
      </c>
      <c r="H20" s="40">
        <f>ROUND(F20*G20, 0)</f>
        <v/>
      </c>
      <c r="I20" s="40" t="n">
        <v>10500000</v>
      </c>
      <c r="J20" s="42">
        <f>I20/$I$64</f>
        <v/>
      </c>
    </row>
    <row r="21" ht="15.75" customHeight="1" s="29">
      <c r="A21" s="38" t="inlineStr">
        <is>
          <t>2.10</t>
        </is>
      </c>
      <c r="B21" s="39" t="inlineStr">
        <is>
          <t>Lịch sử đơn hàng của thành viên</t>
        </is>
      </c>
      <c r="C21" s="39" t="inlineStr">
        <is>
          <t>Tra cứu các đơn hàng đã đặt và trạng thái xử lý trên kênh web</t>
        </is>
      </c>
      <c r="D21" s="38" t="n">
        <v>1</v>
      </c>
      <c r="E21" s="38" t="inlineStr">
        <is>
          <t>Tính năng</t>
        </is>
      </c>
      <c r="F21" s="40" t="n">
        <v>5454545.45</v>
      </c>
      <c r="G21" s="41" t="n">
        <v>0.1</v>
      </c>
      <c r="H21" s="40">
        <f>ROUND(F21*G21, 0)</f>
        <v/>
      </c>
      <c r="I21" s="40" t="n">
        <v>6000000</v>
      </c>
      <c r="J21" s="42">
        <f>I21/$I$64</f>
        <v/>
      </c>
    </row>
    <row r="22" ht="15.75" customHeight="1" s="29">
      <c r="A22" s="38" t="inlineStr">
        <is>
          <t>2.11</t>
        </is>
      </c>
      <c r="B22" s="39" t="inlineStr">
        <is>
          <t>Đồng ý dữ liệu cá nhân và xóa tài khoản</t>
        </is>
      </c>
      <c r="C22" s="39" t="inlineStr">
        <is>
          <t>Ghi nhận đồng ý, rút đồng ý và xử lý yêu cầu xóa tài khoản</t>
        </is>
      </c>
      <c r="D22" s="38" t="n">
        <v>1</v>
      </c>
      <c r="E22" s="38" t="inlineStr">
        <is>
          <t>Tính năng</t>
        </is>
      </c>
      <c r="F22" s="40" t="n">
        <v>6363636.36</v>
      </c>
      <c r="G22" s="41" t="n">
        <v>0.1</v>
      </c>
      <c r="H22" s="40">
        <f>ROUND(F22*G22, 0)</f>
        <v/>
      </c>
      <c r="I22" s="40" t="n">
        <v>7000000</v>
      </c>
      <c r="J22" s="42">
        <f>I22/$I$64</f>
        <v/>
      </c>
    </row>
    <row r="23" ht="15.75" customHeight="1" s="29">
      <c r="A23" s="38" t="inlineStr">
        <is>
          <t>2.12</t>
        </is>
      </c>
      <c r="B23" s="39" t="inlineStr">
        <is>
          <t>Tìm kiếm sản phẩm</t>
        </is>
      </c>
      <c r="C23" s="39" t="inlineStr">
        <is>
          <t>Tìm theo từ khóa, gợi ý tức thì dưới 200 mili-giây, tiếng Việt không dấu, phân trang</t>
        </is>
      </c>
      <c r="D23" s="38" t="n">
        <v>1</v>
      </c>
      <c r="E23" s="38" t="inlineStr">
        <is>
          <t>Tính năng</t>
        </is>
      </c>
      <c r="F23" s="40" t="n">
        <v>17272727.27</v>
      </c>
      <c r="G23" s="41" t="n">
        <v>0.1</v>
      </c>
      <c r="H23" s="40">
        <f>ROUND(F23*G23, 0)</f>
        <v/>
      </c>
      <c r="I23" s="40" t="n">
        <v>19000000</v>
      </c>
      <c r="J23" s="42">
        <f>I23/$I$64</f>
        <v/>
      </c>
    </row>
    <row r="24" ht="15.75" customHeight="1" s="29">
      <c r="A24" s="38" t="inlineStr">
        <is>
          <t>2.13</t>
        </is>
      </c>
      <c r="B24" s="39" t="inlineStr">
        <is>
          <t>Danh mục, bộ lọc và sắp xếp</t>
        </is>
      </c>
      <c r="C24" s="39" t="inlineStr">
        <is>
          <t>Lọc theo kích cỡ, màu sắc, mức giá và sắp xếp danh sách</t>
        </is>
      </c>
      <c r="D24" s="38" t="n">
        <v>1</v>
      </c>
      <c r="E24" s="38" t="inlineStr">
        <is>
          <t>Tính năng</t>
        </is>
      </c>
      <c r="F24" s="40" t="n">
        <v>10909090.91</v>
      </c>
      <c r="G24" s="41" t="n">
        <v>0.1</v>
      </c>
      <c r="H24" s="40">
        <f>ROUND(F24*G24, 0)</f>
        <v/>
      </c>
      <c r="I24" s="40" t="n">
        <v>12000000</v>
      </c>
      <c r="J24" s="42">
        <f>I24/$I$64</f>
        <v/>
      </c>
    </row>
    <row r="25" ht="15.75" customHeight="1" s="29">
      <c r="A25" s="38" t="inlineStr">
        <is>
          <t>2.14</t>
        </is>
      </c>
      <c r="B25" s="39" t="inlineStr">
        <is>
          <t>Chi tiết sản phẩm và tồn kho</t>
        </is>
      </c>
      <c r="C25" s="39" t="inlineStr">
        <is>
          <t>Hình ảnh, bảng kích cỡ, khuyến mại và tình trạng tồn kho theo chi nhánh</t>
        </is>
      </c>
      <c r="D25" s="38" t="n">
        <v>1</v>
      </c>
      <c r="E25" s="38" t="inlineStr">
        <is>
          <t>Tính năng</t>
        </is>
      </c>
      <c r="F25" s="40" t="n">
        <v>12727272.73</v>
      </c>
      <c r="G25" s="41" t="n">
        <v>0.1</v>
      </c>
      <c r="H25" s="40">
        <f>ROUND(F25*G25, 0)</f>
        <v/>
      </c>
      <c r="I25" s="40" t="n">
        <v>14000000</v>
      </c>
      <c r="J25" s="42">
        <f>I25/$I$64</f>
        <v/>
      </c>
    </row>
    <row r="26" ht="15.75" customHeight="1" s="29">
      <c r="A26" s="38" t="inlineStr">
        <is>
          <t>2.15</t>
        </is>
      </c>
      <c r="B26" s="39" t="inlineStr">
        <is>
          <t>Trang chủ và trang chính sách</t>
        </is>
      </c>
      <c r="C26" s="39" t="inlineStr">
        <is>
          <t>Trang chủ, sản phẩm nổi bật, chính sách đổi trả, vận chuyển, bảo mật</t>
        </is>
      </c>
      <c r="D26" s="38" t="n">
        <v>1</v>
      </c>
      <c r="E26" s="38" t="inlineStr">
        <is>
          <t>Tính năng</t>
        </is>
      </c>
      <c r="F26" s="40" t="n">
        <v>7727272.73</v>
      </c>
      <c r="G26" s="41" t="n">
        <v>0.1</v>
      </c>
      <c r="H26" s="40">
        <f>ROUND(F26*G26, 0)</f>
        <v/>
      </c>
      <c r="I26" s="40" t="n">
        <v>8500000</v>
      </c>
      <c r="J26" s="42">
        <f>I26/$I$64</f>
        <v/>
      </c>
    </row>
    <row r="27" ht="15.75" customHeight="1" s="29">
      <c r="A27" s="38" t="inlineStr">
        <is>
          <t>2.16</t>
        </is>
      </c>
      <c r="B27" s="39" t="inlineStr">
        <is>
          <t>Bộ nhớ đệm danh mục và CDN hình ảnh</t>
        </is>
      </c>
      <c r="C27" s="39" t="inlineStr">
        <is>
          <t>Giảm thời gian tải trang danh mục và hình ảnh sản phẩm dưới 1,2 giây</t>
        </is>
      </c>
      <c r="D27" s="38" t="n">
        <v>1</v>
      </c>
      <c r="E27" s="38" t="inlineStr">
        <is>
          <t>Tính năng</t>
        </is>
      </c>
      <c r="F27" s="40" t="n">
        <v>7272727.27</v>
      </c>
      <c r="G27" s="41" t="n">
        <v>0.1</v>
      </c>
      <c r="H27" s="40">
        <f>ROUND(F27*G27, 0)</f>
        <v/>
      </c>
      <c r="I27" s="40" t="n">
        <v>8000000</v>
      </c>
      <c r="J27" s="42">
        <f>I27/$I$64</f>
        <v/>
      </c>
    </row>
    <row r="28" ht="15.75" customHeight="1" s="29">
      <c r="A28" s="38" t="inlineStr">
        <is>
          <t>2.17</t>
        </is>
      </c>
      <c r="B28" s="39" t="inlineStr">
        <is>
          <t>Giỏ hàng</t>
        </is>
      </c>
      <c r="C28" s="39" t="inlineStr">
        <is>
          <t>Thêm, sửa, xóa, lưu giỏ hàng đa thiết bị, tính tiền và giới hạn số lượng mua</t>
        </is>
      </c>
      <c r="D28" s="38" t="n">
        <v>1</v>
      </c>
      <c r="E28" s="38" t="inlineStr">
        <is>
          <t>Tính năng</t>
        </is>
      </c>
      <c r="F28" s="40" t="n">
        <v>12727272.73</v>
      </c>
      <c r="G28" s="41" t="n">
        <v>0.1</v>
      </c>
      <c r="H28" s="40">
        <f>ROUND(F28*G28, 0)</f>
        <v/>
      </c>
      <c r="I28" s="40" t="n">
        <v>14000000</v>
      </c>
      <c r="J28" s="42">
        <f>I28/$I$64</f>
        <v/>
      </c>
    </row>
    <row r="29" ht="15.75" customHeight="1" s="29">
      <c r="A29" s="38" t="inlineStr">
        <is>
          <t>2.18</t>
        </is>
      </c>
      <c r="B29" s="39" t="inlineStr">
        <is>
          <t>Đặt hàng trực tuyến</t>
        </is>
      </c>
      <c r="C29" s="39" t="inlineStr">
        <is>
          <t>Quy trình đặt hàng 3 bước, tạm giữ tồn kho 15 phút, phí vận chuyển và mã giảm giá</t>
        </is>
      </c>
      <c r="D29" s="38" t="n">
        <v>1</v>
      </c>
      <c r="E29" s="38" t="inlineStr">
        <is>
          <t>Tính năng</t>
        </is>
      </c>
      <c r="F29" s="40" t="n">
        <v>19090909.09</v>
      </c>
      <c r="G29" s="41" t="n">
        <v>0.1</v>
      </c>
      <c r="H29" s="40">
        <f>ROUND(F29*G29, 0)</f>
        <v/>
      </c>
      <c r="I29" s="40" t="n">
        <v>21000000</v>
      </c>
      <c r="J29" s="42">
        <f>I29/$I$64</f>
        <v/>
      </c>
    </row>
    <row r="30" ht="15.75" customHeight="1" s="29">
      <c r="A30" s="48" t="inlineStr">
        <is>
          <t>2.19</t>
        </is>
      </c>
      <c r="B30" s="49" t="inlineStr">
        <is>
          <t>Thanh toán, hoàn tiền và đối soát</t>
        </is>
      </c>
      <c r="C30" s="49" t="inlineStr">
        <is>
          <t>Thẻ ngân hàng, ví điện tử, mã QR, trả tiền mặt khi nhận hàng, xử lý giao dịch treo, hoàn tiền và đối soát hằng ngày</t>
        </is>
      </c>
      <c r="D30" s="48" t="n">
        <v>1</v>
      </c>
      <c r="E30" s="48" t="inlineStr">
        <is>
          <t>Tính năng</t>
        </is>
      </c>
      <c r="F30" s="50" t="n">
        <v>44090909.09</v>
      </c>
      <c r="G30" s="51" t="n">
        <v>0.1</v>
      </c>
      <c r="H30" s="50">
        <f>ROUND(F30*G30, 0)</f>
        <v/>
      </c>
      <c r="I30" s="50" t="n">
        <v>48500000</v>
      </c>
      <c r="J30" s="52">
        <f>I30/$I$64</f>
        <v/>
      </c>
    </row>
    <row r="31" ht="15.75" customHeight="1" s="29">
      <c r="A31" s="38" t="inlineStr">
        <is>
          <t>2.20</t>
        </is>
      </c>
      <c r="B31" s="53" t="inlineStr">
        <is>
          <t>Theo dõi và hủy đơn hàng</t>
        </is>
      </c>
      <c r="C31" s="39" t="inlineStr">
        <is>
          <t>Tra cứu trạng thái, hủy đơn, hoàn trả tồn kho và khởi tạo hoàn tiền</t>
        </is>
      </c>
      <c r="D31" s="38" t="n">
        <v>1</v>
      </c>
      <c r="E31" s="38" t="inlineStr">
        <is>
          <t>Tính năng</t>
        </is>
      </c>
      <c r="F31" s="40" t="n">
        <v>12727272.73</v>
      </c>
      <c r="G31" s="41" t="n">
        <v>0.1</v>
      </c>
      <c r="H31" s="40">
        <f>ROUND(F31*G31, 0)</f>
        <v/>
      </c>
      <c r="I31" s="40" t="n">
        <v>14000000</v>
      </c>
      <c r="J31" s="42">
        <f>I31/$I$64</f>
        <v/>
      </c>
    </row>
    <row r="32" ht="15.75" customHeight="1" s="29">
      <c r="A32" s="38" t="inlineStr">
        <is>
          <t>2.21</t>
        </is>
      </c>
      <c r="B32" s="39" t="inlineStr">
        <is>
          <t>Thông báo đơn hàng</t>
        </is>
      </c>
      <c r="C32" s="39" t="inlineStr">
        <is>
          <t>Thư điện tử và tin nhắn SMS xác nhận, cập nhật trạng thái đơn hàng kèm nhật ký gửi</t>
        </is>
      </c>
      <c r="D32" s="38" t="n">
        <v>1</v>
      </c>
      <c r="E32" s="38" t="inlineStr">
        <is>
          <t>Tính năng</t>
        </is>
      </c>
      <c r="F32" s="40" t="n">
        <v>9545454.550000001</v>
      </c>
      <c r="G32" s="41" t="n">
        <v>0.1</v>
      </c>
      <c r="H32" s="40">
        <f>ROUND(F32*G32, 0)</f>
        <v/>
      </c>
      <c r="I32" s="40" t="n">
        <v>10500000</v>
      </c>
      <c r="J32" s="42">
        <f>I32/$I$64</f>
        <v/>
      </c>
    </row>
    <row r="33" ht="15.75" customHeight="1" s="29">
      <c r="A33" s="38" t="inlineStr">
        <is>
          <t>2.22</t>
        </is>
      </c>
      <c r="B33" s="39" t="inlineStr">
        <is>
          <t>Chất lượng mã nguồn và bản đóng gói</t>
        </is>
      </c>
      <c r="C33" s="39" t="inlineStr">
        <is>
          <t>Rà soát mã nguồn, phân tích mã nguồn tĩnh và đóng gói bản phát hành Production</t>
        </is>
      </c>
      <c r="D33" s="38" t="n">
        <v>1</v>
      </c>
      <c r="E33" s="38" t="inlineStr">
        <is>
          <t>Gói</t>
        </is>
      </c>
      <c r="F33" s="40" t="n">
        <v>25454545.45</v>
      </c>
      <c r="G33" s="41" t="n">
        <v>0.1</v>
      </c>
      <c r="H33" s="40">
        <f>ROUND(F33*G33, 0)</f>
        <v/>
      </c>
      <c r="I33" s="40" t="n">
        <v>28000000</v>
      </c>
      <c r="J33" s="42">
        <f>I33/$I$64</f>
        <v/>
      </c>
    </row>
    <row r="34" ht="15.75" customHeight="1" s="29">
      <c r="A34" s="38" t="inlineStr">
        <is>
          <t>2.23</t>
        </is>
      </c>
      <c r="B34" s="39" t="inlineStr">
        <is>
          <t>Điều phối giai đoạn xây dựng</t>
        </is>
      </c>
      <c r="C34" s="39" t="inlineStr">
        <is>
          <t>Quản lý tiến độ, rủi ro và báo cáo trong quá trình thiết kế, lập trình</t>
        </is>
      </c>
      <c r="D34" s="38" t="n">
        <v>1</v>
      </c>
      <c r="E34" s="38" t="inlineStr">
        <is>
          <t>Gói</t>
        </is>
      </c>
      <c r="F34" s="40" t="n">
        <v>37727272.73</v>
      </c>
      <c r="G34" s="41" t="n">
        <v>0.1</v>
      </c>
      <c r="H34" s="40">
        <f>ROUND(F34*G34, 0)</f>
        <v/>
      </c>
      <c r="I34" s="40" t="n">
        <v>41500000</v>
      </c>
      <c r="J34" s="42">
        <f>I34/$I$64</f>
        <v/>
      </c>
    </row>
    <row r="35" ht="15.75" customHeight="1" s="29">
      <c r="A35" s="54" t="n"/>
      <c r="B35" s="44" t="inlineStr">
        <is>
          <t>CỘNG THIẾT KẾ &amp; PHÁT TRIỂN WEB SELLING SITE SYSTEM</t>
        </is>
      </c>
      <c r="C35" s="55" t="n"/>
      <c r="D35" s="54" t="n"/>
      <c r="E35" s="54" t="n"/>
      <c r="F35" s="45">
        <f>SUM(F12:F34)</f>
        <v/>
      </c>
      <c r="G35" s="46" t="n">
        <v>0.1</v>
      </c>
      <c r="H35" s="45">
        <f>SUM(H12:H34)</f>
        <v/>
      </c>
      <c r="I35" s="45">
        <f>SUM(I12:I34)</f>
        <v/>
      </c>
      <c r="J35" s="47">
        <f>I35/$I$64</f>
        <v/>
      </c>
    </row>
    <row r="36" ht="15.75" customHeight="1" s="29">
      <c r="A36" s="56" t="inlineStr">
        <is>
          <t>3</t>
        </is>
      </c>
      <c r="B36" s="56" t="inlineStr">
        <is>
          <t>Tích hợp Main System</t>
        </is>
      </c>
      <c r="C36" s="57" t="n"/>
      <c r="D36" s="57" t="n"/>
      <c r="E36" s="57" t="n"/>
      <c r="F36" s="57" t="n"/>
      <c r="G36" s="57" t="n"/>
      <c r="H36" s="57" t="n"/>
      <c r="I36" s="57" t="n"/>
      <c r="J36" s="58" t="n"/>
    </row>
    <row r="37" ht="15.75" customHeight="1" s="29">
      <c r="A37" s="38" t="inlineStr">
        <is>
          <t>3.1</t>
        </is>
      </c>
      <c r="B37" s="53" t="inlineStr">
        <is>
          <t>Đặc tả giao diện tích hợp</t>
        </is>
      </c>
      <c r="C37" s="39" t="inlineStr">
        <is>
          <t>Giao diện sản phẩm, đơn hàng, khách hàng; quy tắc thử lại tự động và đối soát</t>
        </is>
      </c>
      <c r="D37" s="38" t="n">
        <v>1</v>
      </c>
      <c r="E37" s="38" t="inlineStr">
        <is>
          <t>Gói</t>
        </is>
      </c>
      <c r="F37" s="40" t="n">
        <v>23181818.18</v>
      </c>
      <c r="G37" s="41" t="n">
        <v>0.1</v>
      </c>
      <c r="H37" s="40">
        <f>ROUND(F37*G37, 0)</f>
        <v/>
      </c>
      <c r="I37" s="40" t="n">
        <v>25500000</v>
      </c>
      <c r="J37" s="42">
        <f>I37/$I$64</f>
        <v/>
      </c>
    </row>
    <row r="38" ht="15.75" customHeight="1" s="29">
      <c r="A38" s="38" t="inlineStr">
        <is>
          <t>3.2</t>
        </is>
      </c>
      <c r="B38" s="39" t="inlineStr">
        <is>
          <t>Đồng bộ danh mục, giá và khuyến mại</t>
        </is>
      </c>
      <c r="C38" s="39" t="inlineStr">
        <is>
          <t>Bộ kết nối đồng bộ từ Main System, lịch chạy tự động và nhật ký giao dịch</t>
        </is>
      </c>
      <c r="D38" s="38" t="n">
        <v>1</v>
      </c>
      <c r="E38" s="38" t="inlineStr">
        <is>
          <t>Tính năng</t>
        </is>
      </c>
      <c r="F38" s="40" t="n">
        <v>12727272.73</v>
      </c>
      <c r="G38" s="41" t="n">
        <v>0.1</v>
      </c>
      <c r="H38" s="40">
        <f>ROUND(F38*G38, 0)</f>
        <v/>
      </c>
      <c r="I38" s="40" t="n">
        <v>14000000</v>
      </c>
      <c r="J38" s="42">
        <f>I38/$I$64</f>
        <v/>
      </c>
    </row>
    <row r="39" ht="15.75" customHeight="1" s="29">
      <c r="A39" s="38" t="inlineStr">
        <is>
          <t>3.3</t>
        </is>
      </c>
      <c r="B39" s="39" t="inlineStr">
        <is>
          <t>Đồng bộ tồn kho</t>
        </is>
      </c>
      <c r="C39" s="39" t="inlineStr">
        <is>
          <t>Chu kỳ không quá 15 phút, xử lý lệch tồn kho và gửi cảnh báo</t>
        </is>
      </c>
      <c r="D39" s="38" t="n">
        <v>1</v>
      </c>
      <c r="E39" s="38" t="inlineStr">
        <is>
          <t>Tính năng</t>
        </is>
      </c>
      <c r="F39" s="40" t="n">
        <v>16818181.82</v>
      </c>
      <c r="G39" s="41" t="n">
        <v>0.1</v>
      </c>
      <c r="H39" s="40">
        <f>ROUND(F39*G39, 0)</f>
        <v/>
      </c>
      <c r="I39" s="40" t="n">
        <v>18500000</v>
      </c>
      <c r="J39" s="42">
        <f>I39/$I$64</f>
        <v/>
      </c>
    </row>
    <row r="40" ht="15.75" customHeight="1" s="29">
      <c r="A40" s="38" t="inlineStr">
        <is>
          <t>3.4</t>
        </is>
      </c>
      <c r="B40" s="39" t="inlineStr">
        <is>
          <t>Đẩy đơn hàng sang Main System</t>
        </is>
      </c>
      <c r="C40" s="39" t="inlineStr">
        <is>
          <t>Hàng đợi tin nhắn, thử lại tự động, khóa chống trùng lặp đơn hàng</t>
        </is>
      </c>
      <c r="D40" s="38" t="n">
        <v>1</v>
      </c>
      <c r="E40" s="38" t="inlineStr">
        <is>
          <t>Tính năng</t>
        </is>
      </c>
      <c r="F40" s="40" t="n">
        <v>19090909.09</v>
      </c>
      <c r="G40" s="41" t="n">
        <v>0.1</v>
      </c>
      <c r="H40" s="40">
        <f>ROUND(F40*G40, 0)</f>
        <v/>
      </c>
      <c r="I40" s="40" t="n">
        <v>21000000</v>
      </c>
      <c r="J40" s="42">
        <f>I40/$I$64</f>
        <v/>
      </c>
    </row>
    <row r="41" ht="15.75" customHeight="1" s="29">
      <c r="A41" s="38" t="inlineStr">
        <is>
          <t>3.5</t>
        </is>
      </c>
      <c r="B41" s="39" t="inlineStr">
        <is>
          <t>Nhận trạng thái xử lý và giao hàng</t>
        </is>
      </c>
      <c r="C41" s="39" t="inlineStr">
        <is>
          <t>Cập nhật trạng thái từ Main System và thông báo cho khách hàng</t>
        </is>
      </c>
      <c r="D41" s="38" t="n">
        <v>1</v>
      </c>
      <c r="E41" s="38" t="inlineStr">
        <is>
          <t>Tính năng</t>
        </is>
      </c>
      <c r="F41" s="40" t="n">
        <v>15000000</v>
      </c>
      <c r="G41" s="41" t="n">
        <v>0.1</v>
      </c>
      <c r="H41" s="40">
        <f>ROUND(F41*G41, 0)</f>
        <v/>
      </c>
      <c r="I41" s="40" t="n">
        <v>16500000</v>
      </c>
      <c r="J41" s="42">
        <f>I41/$I$64</f>
        <v/>
      </c>
    </row>
    <row r="42" ht="15.75" customHeight="1" s="29">
      <c r="A42" s="38" t="inlineStr">
        <is>
          <t>3.6</t>
        </is>
      </c>
      <c r="B42" s="39" t="inlineStr">
        <is>
          <t>Đồng bộ dữ liệu khách hàng</t>
        </is>
      </c>
      <c r="C42" s="39" t="inlineStr">
        <is>
          <t>Bộ kết nối đồng bộ hồ sơ khách hàng hai chiều giữa Selling DB và Main System</t>
        </is>
      </c>
      <c r="D42" s="38" t="n">
        <v>1</v>
      </c>
      <c r="E42" s="38" t="inlineStr">
        <is>
          <t>Tính năng</t>
        </is>
      </c>
      <c r="F42" s="40" t="n">
        <v>10454545.45</v>
      </c>
      <c r="G42" s="41" t="n">
        <v>0.1</v>
      </c>
      <c r="H42" s="40">
        <f>ROUND(F42*G42, 0)</f>
        <v/>
      </c>
      <c r="I42" s="40" t="n">
        <v>11500000</v>
      </c>
      <c r="J42" s="42">
        <f>I42/$I$64</f>
        <v/>
      </c>
    </row>
    <row r="43" ht="15.75" customHeight="1" s="29">
      <c r="A43" s="48" t="inlineStr">
        <is>
          <t>3.7</t>
        </is>
      </c>
      <c r="B43" s="49" t="inlineStr">
        <is>
          <t>Đối soát và kiểm thử kết nối thật</t>
        </is>
      </c>
      <c r="C43" s="49" t="inlineStr">
        <is>
          <t>Báo cáo lệch dữ liệu hằng ngày và kiểm thử kết nối cùng đội CNTT Main System</t>
        </is>
      </c>
      <c r="D43" s="48" t="n">
        <v>1</v>
      </c>
      <c r="E43" s="48" t="inlineStr">
        <is>
          <t>Gói</t>
        </is>
      </c>
      <c r="F43" s="50" t="n">
        <v>20454545.45</v>
      </c>
      <c r="G43" s="51" t="n">
        <v>0.1</v>
      </c>
      <c r="H43" s="50">
        <f>ROUND(F43*G43, 0)</f>
        <v/>
      </c>
      <c r="I43" s="50" t="n">
        <v>22500000</v>
      </c>
      <c r="J43" s="52">
        <f>I43/$I$64</f>
        <v/>
      </c>
    </row>
    <row r="44" ht="15.75" customHeight="1" s="29">
      <c r="A44" s="38" t="inlineStr">
        <is>
          <t>3.8</t>
        </is>
      </c>
      <c r="B44" s="53" t="inlineStr">
        <is>
          <t>Điều phối tích hợp</t>
        </is>
      </c>
      <c r="C44" s="39" t="inlineStr">
        <is>
          <t>Phối hợp đội CNTT ABC Wear trong suốt quá trình kết nối các luồng dữ liệu</t>
        </is>
      </c>
      <c r="D44" s="38" t="n">
        <v>1</v>
      </c>
      <c r="E44" s="38" t="inlineStr">
        <is>
          <t>Gói</t>
        </is>
      </c>
      <c r="F44" s="40" t="n">
        <v>9545454.550000001</v>
      </c>
      <c r="G44" s="41" t="n">
        <v>0.1</v>
      </c>
      <c r="H44" s="40">
        <f>ROUND(F44*G44, 0)</f>
        <v/>
      </c>
      <c r="I44" s="40" t="n">
        <v>10500000</v>
      </c>
      <c r="J44" s="42">
        <f>I44/$I$64</f>
        <v/>
      </c>
    </row>
    <row r="45" ht="15.75" customHeight="1" s="29">
      <c r="A45" s="54" t="n"/>
      <c r="B45" s="44" t="inlineStr">
        <is>
          <t>CỘNG TÍCH HỢP MAIN SYSTEM</t>
        </is>
      </c>
      <c r="C45" s="55" t="n"/>
      <c r="D45" s="54" t="n"/>
      <c r="E45" s="54" t="n"/>
      <c r="F45" s="45">
        <f>SUM(F37:F44)</f>
        <v/>
      </c>
      <c r="G45" s="46" t="n">
        <v>0.1</v>
      </c>
      <c r="H45" s="45">
        <f>SUM(H37:H44)</f>
        <v/>
      </c>
      <c r="I45" s="45">
        <f>SUM(I37:I44)</f>
        <v/>
      </c>
      <c r="J45" s="47">
        <f>I45/$I$64</f>
        <v/>
      </c>
    </row>
    <row r="46" ht="15.75" customHeight="1" s="29">
      <c r="A46" s="59" t="inlineStr">
        <is>
          <t>4</t>
        </is>
      </c>
      <c r="B46" s="60" t="inlineStr">
        <is>
          <t>Kiểm thử vận hành (Operation Test)</t>
        </is>
      </c>
      <c r="C46" s="57" t="n"/>
      <c r="D46" s="57" t="n"/>
      <c r="E46" s="57" t="n"/>
      <c r="F46" s="57" t="n"/>
      <c r="G46" s="57" t="n"/>
      <c r="H46" s="57" t="n"/>
      <c r="I46" s="57" t="n"/>
      <c r="J46" s="58" t="n"/>
    </row>
    <row r="47" ht="15.75" customHeight="1" s="29">
      <c r="A47" s="38" t="inlineStr">
        <is>
          <t>4.1</t>
        </is>
      </c>
      <c r="B47" s="39" t="inlineStr">
        <is>
          <t>Chuẩn bị kiểm thử</t>
        </is>
      </c>
      <c r="C47" s="39" t="inlineStr">
        <is>
          <t>Kế hoạch kiểm thử, kịch bản kiểm thử theo phân hệ, dữ liệu kiểm thử và ma trận truy vết</t>
        </is>
      </c>
      <c r="D47" s="38" t="n">
        <v>1</v>
      </c>
      <c r="E47" s="38" t="inlineStr">
        <is>
          <t>Gói</t>
        </is>
      </c>
      <c r="F47" s="40" t="n">
        <v>46363636.36</v>
      </c>
      <c r="G47" s="41" t="n">
        <v>0.1</v>
      </c>
      <c r="H47" s="40">
        <f>ROUND(F47*G47, 0)</f>
        <v/>
      </c>
      <c r="I47" s="40" t="n">
        <v>51000000</v>
      </c>
      <c r="J47" s="42">
        <f>I47/$I$64</f>
        <v/>
      </c>
    </row>
    <row r="48" ht="15.75" customHeight="1" s="29">
      <c r="A48" s="38" t="inlineStr">
        <is>
          <t>4.2</t>
        </is>
      </c>
      <c r="B48" s="39" t="inlineStr">
        <is>
          <t>Kiểm thử tích hợp hệ thống</t>
        </is>
      </c>
      <c r="C48" s="39" t="inlineStr">
        <is>
          <t>Kiểm thử tích hợp sản phẩm, khách hàng, đơn hàng, luồng đồng bộ và luồng đầu-cuối</t>
        </is>
      </c>
      <c r="D48" s="38" t="n">
        <v>1</v>
      </c>
      <c r="E48" s="38" t="inlineStr">
        <is>
          <t>Gói</t>
        </is>
      </c>
      <c r="F48" s="40" t="n">
        <v>46818181.82</v>
      </c>
      <c r="G48" s="41" t="n">
        <v>0.1</v>
      </c>
      <c r="H48" s="40">
        <f>ROUND(F48*G48, 0)</f>
        <v/>
      </c>
      <c r="I48" s="40" t="n">
        <v>51500000</v>
      </c>
      <c r="J48" s="42">
        <f>I48/$I$64</f>
        <v/>
      </c>
    </row>
    <row r="49" ht="15.75" customHeight="1" s="29">
      <c r="A49" s="38" t="inlineStr">
        <is>
          <t>4.3</t>
        </is>
      </c>
      <c r="B49" s="39" t="inlineStr">
        <is>
          <t>Kiểm thử hiệu năng</t>
        </is>
      </c>
      <c r="C49" s="39" t="inlineStr">
        <is>
          <t>Đo kiểm chịu tải 5.000 người dùng đồng thời đạt P95 không quá 2 giây; gồm công cụ đo tải</t>
        </is>
      </c>
      <c r="D49" s="38" t="n">
        <v>1</v>
      </c>
      <c r="E49" s="38" t="inlineStr">
        <is>
          <t>Gói</t>
        </is>
      </c>
      <c r="F49" s="40" t="n">
        <v>28181818.18</v>
      </c>
      <c r="G49" s="41" t="n">
        <v>0.1</v>
      </c>
      <c r="H49" s="40">
        <f>ROUND(F49*G49, 0)</f>
        <v/>
      </c>
      <c r="I49" s="40" t="n">
        <v>31000000</v>
      </c>
      <c r="J49" s="42">
        <f>I49/$I$64</f>
        <v/>
      </c>
    </row>
    <row r="50" ht="15.75" customHeight="1" s="29">
      <c r="A50" s="48" t="inlineStr">
        <is>
          <t>4.4</t>
        </is>
      </c>
      <c r="B50" s="49" t="inlineStr">
        <is>
          <t>Kiểm thử an toàn bảo mật</t>
        </is>
      </c>
      <c r="C50" s="49" t="inlineStr">
        <is>
          <t>Kiểm thử bảo mật theo chuẩn OWASP Top 10 và phân quyền; gồm công cụ quét lỗ hổng</t>
        </is>
      </c>
      <c r="D50" s="48" t="n">
        <v>1</v>
      </c>
      <c r="E50" s="48" t="inlineStr">
        <is>
          <t>Gói</t>
        </is>
      </c>
      <c r="F50" s="50" t="n">
        <v>24090909.09</v>
      </c>
      <c r="G50" s="51" t="n">
        <v>0.1</v>
      </c>
      <c r="H50" s="50">
        <f>ROUND(F50*G50, 0)</f>
        <v/>
      </c>
      <c r="I50" s="50" t="n">
        <v>26500000</v>
      </c>
      <c r="J50" s="52">
        <f>I50/$I$64</f>
        <v/>
      </c>
    </row>
    <row r="51" ht="15.75" customHeight="1" s="29">
      <c r="A51" s="38" t="inlineStr">
        <is>
          <t>4.5</t>
        </is>
      </c>
      <c r="B51" s="53" t="inlineStr">
        <is>
          <t>Sửa lỗi và kiểm thử hồi quy</t>
        </is>
      </c>
      <c r="C51" s="39" t="inlineStr">
        <is>
          <t>Khắc phục lỗi phát sinh và chạy lại toàn bộ kịch bản kiểm thử hồi quy tự động</t>
        </is>
      </c>
      <c r="D51" s="38" t="n">
        <v>1</v>
      </c>
      <c r="E51" s="38" t="inlineStr">
        <is>
          <t>Gói</t>
        </is>
      </c>
      <c r="F51" s="40" t="n">
        <v>33181818.18</v>
      </c>
      <c r="G51" s="41" t="n">
        <v>0.1</v>
      </c>
      <c r="H51" s="40">
        <f>ROUND(F51*G51, 0)</f>
        <v/>
      </c>
      <c r="I51" s="40" t="n">
        <v>36500000</v>
      </c>
      <c r="J51" s="42">
        <f>I51/$I$64</f>
        <v/>
      </c>
    </row>
    <row r="52" ht="15.75" customHeight="1" s="29">
      <c r="A52" s="38" t="inlineStr">
        <is>
          <t>4.6</t>
        </is>
      </c>
      <c r="B52" s="39" t="inlineStr">
        <is>
          <t>Kiểm thử nghiệm thu vận hành</t>
        </is>
      </c>
      <c r="C52" s="39" t="inlineStr">
        <is>
          <t>Kịch bản nghiệm thu người dùng, hỗ trợ người dùng chính, biên bản Kiểm thử vận hành đạt Mốc M4</t>
        </is>
      </c>
      <c r="D52" s="38" t="n">
        <v>1</v>
      </c>
      <c r="E52" s="38" t="inlineStr">
        <is>
          <t>Gói</t>
        </is>
      </c>
      <c r="F52" s="40" t="n">
        <v>30454545.45</v>
      </c>
      <c r="G52" s="41" t="n">
        <v>0.1</v>
      </c>
      <c r="H52" s="40">
        <f>ROUND(F52*G52, 0)</f>
        <v/>
      </c>
      <c r="I52" s="40" t="n">
        <v>33500000</v>
      </c>
      <c r="J52" s="42">
        <f>I52/$I$64</f>
        <v/>
      </c>
    </row>
    <row r="53" ht="15.75" customHeight="1" s="29">
      <c r="A53" s="43" t="n"/>
      <c r="B53" s="44" t="inlineStr">
        <is>
          <t>CỘNG KIỂM THỬ VẬN HÀNH (OPERATION TEST)</t>
        </is>
      </c>
      <c r="C53" s="43" t="n"/>
      <c r="D53" s="43" t="n"/>
      <c r="E53" s="43" t="n"/>
      <c r="F53" s="45">
        <f>SUM(F47:F52)</f>
        <v/>
      </c>
      <c r="G53" s="46" t="n">
        <v>0.1</v>
      </c>
      <c r="H53" s="45">
        <f>SUM(H47:H52)</f>
        <v/>
      </c>
      <c r="I53" s="45">
        <f>SUM(I47:I52)</f>
        <v/>
      </c>
      <c r="J53" s="47">
        <f>I53/$I$64</f>
        <v/>
      </c>
    </row>
    <row r="54" ht="15.75" customHeight="1" s="29">
      <c r="A54" s="61" t="inlineStr">
        <is>
          <t>5</t>
        </is>
      </c>
      <c r="B54" s="61" t="inlineStr">
        <is>
          <t>Bàn giao sản phẩm &amp; Cut-over</t>
        </is>
      </c>
    </row>
    <row r="55" ht="15.75" customHeight="1" s="29">
      <c r="A55" s="62" t="inlineStr">
        <is>
          <t>5.1</t>
        </is>
      </c>
      <c r="B55" s="63" t="inlineStr">
        <is>
          <t>Chuyển đổi dữ liệu</t>
        </is>
      </c>
      <c r="C55" s="63" t="inlineStr">
        <is>
          <t>Công cụ chuyển đổi, chạy thử, đối soát và nạp danh mục sản phẩm thực tế trước vận hành</t>
        </is>
      </c>
      <c r="D55" s="62" t="n">
        <v>1</v>
      </c>
      <c r="E55" s="62" t="inlineStr">
        <is>
          <t>Gói</t>
        </is>
      </c>
      <c r="F55" s="64" t="n">
        <v>14545454.55</v>
      </c>
      <c r="G55" s="65" t="n">
        <v>0.1</v>
      </c>
      <c r="H55" s="64">
        <f>ROUND(F55*G55, 0)</f>
        <v/>
      </c>
      <c r="I55" s="64" t="n">
        <v>16000000</v>
      </c>
      <c r="J55" s="66">
        <f>I55/$I$64</f>
        <v/>
      </c>
    </row>
    <row r="56" ht="15.75" customHeight="1" s="29">
      <c r="A56" s="38" t="inlineStr">
        <is>
          <t>5.2</t>
        </is>
      </c>
      <c r="B56" s="39" t="inlineStr">
        <is>
          <t>Tài liệu bàn giao</t>
        </is>
      </c>
      <c r="C56" s="39" t="inlineStr">
        <is>
          <t>04 bộ tài liệu kỹ thuật gồm Đặc tả, Luồng vận hành mới, Selling DB, Menu Layer kèm hướng dẫn sử dụng</t>
        </is>
      </c>
      <c r="D56" s="38" t="n">
        <v>1</v>
      </c>
      <c r="E56" s="38" t="inlineStr">
        <is>
          <t>Gói</t>
        </is>
      </c>
      <c r="F56" s="40" t="n">
        <v>21818181.82</v>
      </c>
      <c r="G56" s="41" t="n">
        <v>0.1</v>
      </c>
      <c r="H56" s="40">
        <f>ROUND(F56*G56, 0)</f>
        <v/>
      </c>
      <c r="I56" s="40" t="n">
        <v>24000000</v>
      </c>
      <c r="J56" s="42">
        <f>I56/$I$64</f>
        <v/>
      </c>
    </row>
    <row r="57" ht="15.75" customHeight="1" s="29">
      <c r="A57" s="38" t="inlineStr">
        <is>
          <t>5.3</t>
        </is>
      </c>
      <c r="B57" s="39" t="inlineStr">
        <is>
          <t>Đào tạo</t>
        </is>
      </c>
      <c r="C57" s="39" t="inlineStr">
        <is>
          <t>Đào tạo bộ phận chăm sóc khách hàng, nhân viên xử lý đơn và đội CNTT vận hành</t>
        </is>
      </c>
      <c r="D57" s="38" t="n">
        <v>1</v>
      </c>
      <c r="E57" s="38" t="inlineStr">
        <is>
          <t>Gói</t>
        </is>
      </c>
      <c r="F57" s="40" t="n">
        <v>13181818.18</v>
      </c>
      <c r="G57" s="41" t="n">
        <v>0.1</v>
      </c>
      <c r="H57" s="40">
        <f>ROUND(F57*G57, 0)</f>
        <v/>
      </c>
      <c r="I57" s="40" t="n">
        <v>14500000</v>
      </c>
      <c r="J57" s="42">
        <f>I57/$I$64</f>
        <v/>
      </c>
    </row>
    <row r="58" ht="15.75" customHeight="1" s="29">
      <c r="A58" s="38" t="inlineStr">
        <is>
          <t>5.4</t>
        </is>
      </c>
      <c r="B58" s="39" t="inlineStr">
        <is>
          <t>Cut-over và go-live</t>
        </is>
      </c>
      <c r="C58" s="39" t="inlineStr">
        <is>
          <t>Kế hoạch quay lui an toàn, diễn tập 02 lần, họp đánh giá sẵn sàng và mở công khai ngày 01/07/2026</t>
        </is>
      </c>
      <c r="D58" s="38" t="n">
        <v>1</v>
      </c>
      <c r="E58" s="38" t="inlineStr">
        <is>
          <t>Gói</t>
        </is>
      </c>
      <c r="F58" s="40" t="n">
        <v>25909090.91</v>
      </c>
      <c r="G58" s="41" t="n">
        <v>0.1</v>
      </c>
      <c r="H58" s="40">
        <f>ROUND(F58*G58, 0)</f>
        <v/>
      </c>
      <c r="I58" s="40" t="n">
        <v>28500000</v>
      </c>
      <c r="J58" s="42">
        <f>I58/$I$64</f>
        <v/>
      </c>
    </row>
    <row r="59" ht="15.75" customHeight="1" s="29">
      <c r="A59" s="38" t="inlineStr">
        <is>
          <t>5.5</t>
        </is>
      </c>
      <c r="B59" s="39" t="inlineStr">
        <is>
          <t>Hỗ trợ vận hành tăng cường sau triển khai</t>
        </is>
      </c>
      <c r="C59" s="39" t="inlineStr">
        <is>
          <t>Trực hỗ trợ vận hành tăng cường 01 tháng từ ngày 01/07/2026 đến ngày 01/08/2026</t>
        </is>
      </c>
      <c r="D59" s="38" t="n">
        <v>1</v>
      </c>
      <c r="E59" s="38" t="inlineStr">
        <is>
          <t>Gói</t>
        </is>
      </c>
      <c r="F59" s="40" t="n">
        <v>35454545.45</v>
      </c>
      <c r="G59" s="41" t="n">
        <v>0.1</v>
      </c>
      <c r="H59" s="40">
        <f>ROUND(F59*G59, 0)</f>
        <v/>
      </c>
      <c r="I59" s="40" t="n">
        <v>39000000</v>
      </c>
      <c r="J59" s="42">
        <f>I59/$I$64</f>
        <v/>
      </c>
    </row>
    <row r="60" ht="15.75" customHeight="1" s="29">
      <c r="A60" s="67" t="n"/>
      <c r="B60" s="44" t="inlineStr">
        <is>
          <t>CỘNG BÀN GIAO SẢN PHẨM &amp; CUT-OVER</t>
        </is>
      </c>
      <c r="C60" s="67" t="n"/>
      <c r="D60" s="67" t="n"/>
      <c r="E60" s="67" t="n"/>
      <c r="F60" s="45">
        <f>SUM(F55:F59)</f>
        <v/>
      </c>
      <c r="G60" s="46" t="n">
        <v>0.1</v>
      </c>
      <c r="H60" s="45">
        <f>SUM(H55:H59)</f>
        <v/>
      </c>
      <c r="I60" s="45">
        <f>SUM(I55:I59)</f>
        <v/>
      </c>
      <c r="J60" s="47">
        <f>I60/$I$64</f>
        <v/>
      </c>
    </row>
    <row r="61" ht="15.75" customHeight="1" s="29">
      <c r="A61" s="61" t="inlineStr">
        <is>
          <t>6</t>
        </is>
      </c>
      <c r="B61" s="61" t="inlineStr">
        <is>
          <t>Bảo hành &amp; Hỗ trợ kỹ thuật</t>
        </is>
      </c>
    </row>
    <row r="62" ht="15.75" customHeight="1" s="29">
      <c r="A62" s="38" t="inlineStr">
        <is>
          <t>6.1</t>
        </is>
      </c>
      <c r="B62" s="39" t="inlineStr">
        <is>
          <t>Khắc phục sai sót trong 12 tháng</t>
        </is>
      </c>
      <c r="C62" s="39" t="inlineStr">
        <is>
          <t>Sửa lỗi logic và sự cố do nhà thầu bằng chi phí của nhà thầu từ 01/07/2026 đến 30/06/2027</t>
        </is>
      </c>
      <c r="D62" s="38" t="n">
        <v>12</v>
      </c>
      <c r="E62" s="38" t="inlineStr">
        <is>
          <t>Tháng</t>
        </is>
      </c>
      <c r="F62" s="40" t="n">
        <v>43636363.64</v>
      </c>
      <c r="G62" s="41" t="n">
        <v>0.1</v>
      </c>
      <c r="H62" s="40">
        <f>ROUND(F62*G62, 0)</f>
        <v/>
      </c>
      <c r="I62" s="40" t="n">
        <v>48000000</v>
      </c>
      <c r="J62" s="42">
        <f>I62/$I$64</f>
        <v/>
      </c>
    </row>
    <row r="63" ht="15.75" customHeight="1" s="29">
      <c r="A63" s="67" t="n"/>
      <c r="B63" s="44" t="inlineStr">
        <is>
          <t>CỘNG BẢO HÀNH &amp; HỖ TRỢ KỸ THUẬT</t>
        </is>
      </c>
      <c r="C63" s="67" t="n"/>
      <c r="D63" s="67" t="n"/>
      <c r="E63" s="67" t="n"/>
      <c r="F63" s="45">
        <f>SUM(F62:F62)</f>
        <v/>
      </c>
      <c r="G63" s="46" t="n">
        <v>0.1</v>
      </c>
      <c r="H63" s="45">
        <f>SUM(H62:H62)</f>
        <v/>
      </c>
      <c r="I63" s="45">
        <f>SUM(I62:I62)</f>
        <v/>
      </c>
      <c r="J63" s="47">
        <f>I63/$I$64</f>
        <v/>
      </c>
    </row>
    <row r="64" ht="15.75" customHeight="1" s="29">
      <c r="A64" s="68" t="n"/>
      <c r="B64" s="69" t="inlineStr">
        <is>
          <t>TỔNG CỘNG HẠNG MỤC DỊCH VỤ (WBS TOTAL)</t>
        </is>
      </c>
      <c r="C64" s="68" t="n"/>
      <c r="D64" s="68" t="n"/>
      <c r="E64" s="68" t="n"/>
      <c r="F64" s="70">
        <f>F10+F35+F45+F53+F60+F63</f>
        <v/>
      </c>
      <c r="G64" s="71" t="n">
        <v>0.1</v>
      </c>
      <c r="H64" s="70">
        <f>H10+H35+H45+H53+H60+H63</f>
        <v/>
      </c>
      <c r="I64" s="70">
        <f>I10+I35+I45+I53+I60+I63</f>
        <v/>
      </c>
      <c r="J64" s="72">
        <f>SUM(J10,J35,J45,J53,J60,J63)</f>
        <v/>
      </c>
    </row>
    <row r="65" ht="15.75" customHeight="1" s="29"/>
    <row r="66" ht="15.75" customHeight="1" s="29"/>
    <row r="67" ht="15.75" customHeight="1" s="29"/>
    <row r="68" ht="15.75" customHeight="1" s="29"/>
    <row r="69" ht="15.75" customHeight="1" s="29"/>
    <row r="70" ht="15.75" customHeight="1" s="29"/>
    <row r="71" ht="15.75" customHeight="1" s="29"/>
    <row r="72" ht="15.75" customHeight="1" s="29"/>
    <row r="73" ht="15.75" customHeight="1" s="29"/>
    <row r="74" ht="15.75" customHeight="1" s="29"/>
    <row r="75" ht="15.75" customHeight="1" s="29"/>
    <row r="76" ht="15.75" customHeight="1" s="29"/>
    <row r="77" ht="15.75" customHeight="1" s="29"/>
    <row r="78" ht="15.75" customHeight="1" s="29"/>
    <row r="79" ht="15.75" customHeight="1" s="29"/>
    <row r="80" ht="15.75" customHeight="1" s="29"/>
    <row r="81" ht="15.75" customHeight="1" s="29"/>
    <row r="82" ht="15.75" customHeight="1" s="29"/>
    <row r="83" ht="15.75" customHeight="1" s="29"/>
    <row r="84" ht="15.75" customHeight="1" s="29"/>
    <row r="85" ht="15.75" customHeight="1" s="29"/>
    <row r="86" ht="15.75" customHeight="1" s="29"/>
    <row r="87" ht="15.75" customHeight="1" s="29"/>
    <row r="88" ht="15.75" customHeight="1" s="29"/>
    <row r="89" ht="15.75" customHeight="1" s="29"/>
    <row r="90" ht="15.75" customHeight="1" s="29"/>
    <row r="91" ht="15.75" customHeight="1" s="29"/>
    <row r="92" ht="15.75" customHeight="1" s="29"/>
    <row r="93" ht="15.75" customHeight="1" s="29"/>
    <row r="94" ht="15.75" customHeight="1" s="29"/>
    <row r="95" ht="15.75" customHeight="1" s="29"/>
    <row r="96" ht="15.75" customHeight="1" s="29"/>
    <row r="97" ht="15.75" customHeight="1" s="29"/>
    <row r="98" ht="15.75" customHeight="1" s="29"/>
    <row r="99" ht="15.75" customHeight="1" s="29"/>
    <row r="100" ht="15.75" customHeight="1" s="29"/>
    <row r="101" ht="15.75" customHeight="1" s="29"/>
    <row r="102" ht="15.75" customHeight="1" s="29"/>
    <row r="103" ht="15.75" customHeight="1" s="29"/>
    <row r="104" ht="15.75" customHeight="1" s="29"/>
    <row r="105" ht="15.75" customHeight="1" s="29"/>
    <row r="106" ht="15.75" customHeight="1" s="29"/>
    <row r="107" ht="15.75" customHeight="1" s="29"/>
    <row r="108" ht="15.75" customHeight="1" s="29"/>
    <row r="109" ht="15.75" customHeight="1" s="29"/>
    <row r="110" ht="15.75" customHeight="1" s="29"/>
    <row r="111" ht="15.75" customHeight="1" s="29"/>
    <row r="112" ht="15.75" customHeight="1" s="29"/>
    <row r="113" ht="15.75" customHeight="1" s="29"/>
    <row r="114" ht="15.75" customHeight="1" s="29"/>
    <row r="115" ht="15.75" customHeight="1" s="29"/>
    <row r="116" ht="15.75" customHeight="1" s="29"/>
    <row r="117" ht="15.75" customHeight="1" s="29"/>
    <row r="118" ht="15.75" customHeight="1" s="29"/>
    <row r="119" ht="15.75" customHeight="1" s="29"/>
    <row r="120" ht="15.75" customHeight="1" s="29"/>
    <row r="121" ht="15.75" customHeight="1" s="29"/>
    <row r="122" ht="15.75" customHeight="1" s="29"/>
    <row r="123" ht="15.75" customHeight="1" s="29"/>
    <row r="124" ht="15.75" customHeight="1" s="29"/>
    <row r="125" ht="15.75" customHeight="1" s="29"/>
    <row r="126" ht="15.75" customHeight="1" s="29"/>
    <row r="127" ht="15.75" customHeight="1" s="29"/>
    <row r="128" ht="15.75" customHeight="1" s="29"/>
    <row r="129" ht="15.75" customHeight="1" s="29"/>
    <row r="130" ht="15.75" customHeight="1" s="29"/>
    <row r="131" ht="15.75" customHeight="1" s="29"/>
    <row r="132" ht="15.75" customHeight="1" s="29"/>
    <row r="133" ht="15.75" customHeight="1" s="29"/>
    <row r="134" ht="15.75" customHeight="1" s="29"/>
    <row r="135" ht="15.75" customHeight="1" s="29"/>
    <row r="136" ht="15.75" customHeight="1" s="29"/>
    <row r="137" ht="15.75" customHeight="1" s="29"/>
    <row r="138" ht="15.75" customHeight="1" s="29"/>
    <row r="139" ht="15.75" customHeight="1" s="29"/>
    <row r="140" ht="15.75" customHeight="1" s="29"/>
    <row r="141" ht="15.75" customHeight="1" s="29"/>
    <row r="142" ht="15.75" customHeight="1" s="29"/>
    <row r="143" ht="15.75" customHeight="1" s="29"/>
    <row r="144" ht="15.75" customHeight="1" s="29"/>
    <row r="145" ht="15.75" customHeight="1" s="29"/>
    <row r="146" ht="15.75" customHeight="1" s="29"/>
    <row r="147" ht="15.75" customHeight="1" s="29"/>
    <row r="148" ht="15.75" customHeight="1" s="29"/>
    <row r="149" ht="15.75" customHeight="1" s="29"/>
    <row r="150" ht="15.75" customHeight="1" s="29"/>
    <row r="151" ht="15.75" customHeight="1" s="29"/>
    <row r="152" ht="15.75" customHeight="1" s="29"/>
    <row r="153" ht="15.75" customHeight="1" s="29"/>
    <row r="154" ht="15.75" customHeight="1" s="29"/>
    <row r="155" ht="15.75" customHeight="1" s="29"/>
    <row r="156" ht="15.75" customHeight="1" s="29"/>
    <row r="157" ht="15.75" customHeight="1" s="29"/>
    <row r="158" ht="15.75" customHeight="1" s="29"/>
    <row r="159" ht="15.75" customHeight="1" s="29"/>
    <row r="160" ht="15.75" customHeight="1" s="29"/>
    <row r="161" ht="15.75" customHeight="1" s="29"/>
    <row r="162" ht="15.75" customHeight="1" s="29"/>
    <row r="163" ht="15.75" customHeight="1" s="29"/>
    <row r="164" ht="15.75" customHeight="1" s="29"/>
    <row r="165" ht="15.75" customHeight="1" s="29"/>
    <row r="166" ht="15.75" customHeight="1" s="29"/>
    <row r="167" ht="15.75" customHeight="1" s="29"/>
    <row r="168" ht="15.75" customHeight="1" s="29"/>
    <row r="169" ht="15.75" customHeight="1" s="29"/>
    <row r="170" ht="15.75" customHeight="1" s="29"/>
    <row r="171" ht="15.75" customHeight="1" s="29"/>
    <row r="172" ht="15.75" customHeight="1" s="29"/>
    <row r="173" ht="15.75" customHeight="1" s="29"/>
    <row r="174" ht="15.75" customHeight="1" s="29"/>
    <row r="175" ht="15.75" customHeight="1" s="29"/>
    <row r="176" ht="15.75" customHeight="1" s="29"/>
    <row r="177" ht="15.75" customHeight="1" s="29"/>
    <row r="178" ht="15.75" customHeight="1" s="29"/>
    <row r="179" ht="15.75" customHeight="1" s="29"/>
    <row r="180" ht="15.75" customHeight="1" s="29"/>
    <row r="181" ht="15.75" customHeight="1" s="29"/>
    <row r="182" ht="15.75" customHeight="1" s="29"/>
    <row r="183" ht="15.75" customHeight="1" s="29"/>
    <row r="184" ht="15.75" customHeight="1" s="29"/>
    <row r="185" ht="15.75" customHeight="1" s="29"/>
    <row r="186" ht="15.75" customHeight="1" s="29"/>
    <row r="187" ht="15.75" customHeight="1" s="29"/>
    <row r="188" ht="15.75" customHeight="1" s="29"/>
    <row r="189" ht="15.75" customHeight="1" s="29"/>
    <row r="190" ht="15.75" customHeight="1" s="29"/>
    <row r="191" ht="15.75" customHeight="1" s="29"/>
    <row r="192" ht="15.75" customHeight="1" s="29"/>
    <row r="193" ht="15.75" customHeight="1" s="29"/>
    <row r="194" ht="15.75" customHeight="1" s="29"/>
    <row r="195" ht="15.75" customHeight="1" s="29"/>
    <row r="196" ht="15.75" customHeight="1" s="29"/>
    <row r="197" ht="15.75" customHeight="1" s="29"/>
    <row r="198" ht="15.75" customHeight="1" s="29"/>
    <row r="199" ht="15.75" customHeight="1" s="29"/>
    <row r="200" ht="15.75" customHeight="1" s="29"/>
    <row r="201" ht="15.75" customHeight="1" s="29"/>
    <row r="202" ht="15.75" customHeight="1" s="29"/>
    <row r="203" ht="15.75" customHeight="1" s="29"/>
    <row r="204" ht="15.75" customHeight="1" s="29"/>
    <row r="205" ht="15.75" customHeight="1" s="29"/>
    <row r="206" ht="15.75" customHeight="1" s="29"/>
    <row r="207" ht="15.75" customHeight="1" s="29"/>
    <row r="208" ht="15.75" customHeight="1" s="29"/>
    <row r="209" ht="15.75" customHeight="1" s="29"/>
    <row r="210" ht="15.75" customHeight="1" s="29"/>
    <row r="211" ht="15.75" customHeight="1" s="29"/>
    <row r="212" ht="15.75" customHeight="1" s="29"/>
    <row r="213" ht="15.75" customHeight="1" s="29"/>
    <row r="214" ht="15.75" customHeight="1" s="29"/>
    <row r="215" ht="15.75" customHeight="1" s="29"/>
    <row r="216" ht="15.75" customHeight="1" s="29"/>
    <row r="217" ht="15.75" customHeight="1" s="29"/>
    <row r="218" ht="15.75" customHeight="1" s="29"/>
    <row r="219" ht="15.75" customHeight="1" s="29"/>
    <row r="220" ht="15.75" customHeight="1" s="29"/>
    <row r="221" ht="15.75" customHeight="1" s="29"/>
    <row r="222" ht="15.75" customHeight="1" s="29"/>
    <row r="223" ht="15.75" customHeight="1" s="29"/>
    <row r="224" ht="15.75" customHeight="1" s="29"/>
    <row r="225" ht="15.75" customHeight="1" s="29"/>
    <row r="226" ht="15.75" customHeight="1" s="29"/>
    <row r="227" ht="15.75" customHeight="1" s="29"/>
    <row r="228" ht="15.75" customHeight="1" s="29"/>
    <row r="229" ht="15.75" customHeight="1" s="29"/>
    <row r="230" ht="15.75" customHeight="1" s="29"/>
    <row r="231" ht="15.75" customHeight="1" s="29"/>
    <row r="232" ht="15.75" customHeight="1" s="29"/>
    <row r="233" ht="15.75" customHeight="1" s="29"/>
    <row r="234" ht="15.75" customHeight="1" s="29"/>
    <row r="235" ht="15.75" customHeight="1" s="29"/>
    <row r="236" ht="15.75" customHeight="1" s="29"/>
    <row r="237" ht="15.75" customHeight="1" s="29"/>
    <row r="238" ht="15.75" customHeight="1" s="29"/>
    <row r="239" ht="15.75" customHeight="1" s="29"/>
    <row r="240" ht="15.75" customHeight="1" s="29"/>
    <row r="241" ht="15.75" customHeight="1" s="29"/>
    <row r="242" ht="15.75" customHeight="1" s="29"/>
    <row r="243" ht="15.75" customHeight="1" s="29"/>
    <row r="244" ht="15.75" customHeight="1" s="29"/>
    <row r="245" ht="15.75" customHeight="1" s="29"/>
    <row r="246" ht="15.75" customHeight="1" s="29"/>
    <row r="247" ht="15.75" customHeight="1" s="29"/>
    <row r="248" ht="15.75" customHeight="1" s="29"/>
    <row r="249" ht="15.75" customHeight="1" s="29"/>
    <row r="250" ht="15.75" customHeight="1" s="29"/>
    <row r="251" ht="15.75" customHeight="1" s="29"/>
    <row r="252" ht="15.75" customHeight="1" s="29"/>
    <row r="253" ht="15.75" customHeight="1" s="29"/>
    <row r="254" ht="15.75" customHeight="1" s="29"/>
    <row r="255" ht="15.75" customHeight="1" s="29"/>
    <row r="256" ht="15.75" customHeight="1" s="29"/>
    <row r="257" ht="15.75" customHeight="1" s="29"/>
    <row r="258" ht="15.75" customHeight="1" s="29"/>
    <row r="259" ht="15.75" customHeight="1" s="29"/>
    <row r="260" ht="15.75" customHeight="1" s="29"/>
    <row r="261" ht="15.75" customHeight="1" s="29"/>
    <row r="262" ht="15.75" customHeight="1" s="29"/>
    <row r="263" ht="15.75" customHeight="1" s="29"/>
    <row r="264" ht="15.75" customHeight="1" s="29"/>
    <row r="265" ht="15.75" customHeight="1" s="29"/>
    <row r="266" ht="15.75" customHeight="1" s="29"/>
    <row r="267" ht="15.75" customHeight="1" s="29"/>
    <row r="268" ht="15.75" customHeight="1" s="29"/>
    <row r="269" ht="15.75" customHeight="1" s="29"/>
    <row r="270" ht="15.75" customHeight="1" s="29"/>
    <row r="271" ht="15.75" customHeight="1" s="29"/>
    <row r="272" ht="15.75" customHeight="1" s="29"/>
    <row r="273" ht="15.75" customHeight="1" s="29"/>
    <row r="274" ht="15.75" customHeight="1" s="29"/>
    <row r="275" ht="15.75" customHeight="1" s="29"/>
    <row r="276" ht="15.75" customHeight="1" s="29"/>
    <row r="277" ht="15.75" customHeight="1" s="29"/>
    <row r="278" ht="15.75" customHeight="1" s="29"/>
    <row r="279" ht="15.75" customHeight="1" s="29"/>
    <row r="280" ht="15.75" customHeight="1" s="29"/>
    <row r="281" ht="15.75" customHeight="1" s="29"/>
    <row r="282" ht="15.75" customHeight="1" s="29"/>
    <row r="283" ht="15.75" customHeight="1" s="29"/>
    <row r="284" ht="15.75" customHeight="1" s="29"/>
    <row r="285" ht="15.75" customHeight="1" s="29"/>
    <row r="286" ht="15.75" customHeight="1" s="29"/>
    <row r="287" ht="15.75" customHeight="1" s="29"/>
    <row r="288" ht="15.75" customHeight="1" s="29"/>
    <row r="289" ht="15.75" customHeight="1" s="29"/>
    <row r="290" ht="15.75" customHeight="1" s="29"/>
    <row r="291" ht="15.75" customHeight="1" s="29"/>
    <row r="292" ht="15.75" customHeight="1" s="29"/>
    <row r="293" ht="15.75" customHeight="1" s="29"/>
    <row r="294" ht="15.75" customHeight="1" s="29"/>
    <row r="295" ht="15.75" customHeight="1" s="29"/>
    <row r="296" ht="15.75" customHeight="1" s="29"/>
    <row r="297" ht="15.75" customHeight="1" s="29"/>
    <row r="298" ht="15.75" customHeight="1" s="29"/>
    <row r="299" ht="15.75" customHeight="1" s="29"/>
    <row r="300" ht="15.75" customHeight="1" s="29"/>
    <row r="301" ht="15.75" customHeight="1" s="29"/>
    <row r="302" ht="15.75" customHeight="1" s="29"/>
    <row r="303" ht="15.75" customHeight="1" s="29"/>
    <row r="304" ht="15.75" customHeight="1" s="29"/>
    <row r="305" ht="15.75" customHeight="1" s="29"/>
    <row r="306" ht="15.75" customHeight="1" s="29"/>
    <row r="307" ht="15.75" customHeight="1" s="29"/>
    <row r="308" ht="15.75" customHeight="1" s="29"/>
    <row r="309" ht="15.75" customHeight="1" s="29"/>
    <row r="310" ht="15.75" customHeight="1" s="29"/>
    <row r="311" ht="15.75" customHeight="1" s="29"/>
    <row r="312" ht="15.75" customHeight="1" s="29"/>
    <row r="313" ht="15.75" customHeight="1" s="29"/>
    <row r="314" ht="15.75" customHeight="1" s="29"/>
    <row r="315" ht="15.75" customHeight="1" s="29"/>
    <row r="316" ht="15.75" customHeight="1" s="29"/>
    <row r="317" ht="15.75" customHeight="1" s="29"/>
    <row r="318" ht="15.75" customHeight="1" s="29"/>
    <row r="319" ht="15.75" customHeight="1" s="29"/>
    <row r="320" ht="15.75" customHeight="1" s="29"/>
    <row r="321" ht="15.75" customHeight="1" s="29"/>
    <row r="322" ht="15.75" customHeight="1" s="29"/>
    <row r="323" ht="15.75" customHeight="1" s="29"/>
    <row r="324" ht="15.75" customHeight="1" s="29"/>
    <row r="325" ht="15.75" customHeight="1" s="29"/>
    <row r="326" ht="15.75" customHeight="1" s="29"/>
    <row r="327" ht="15.75" customHeight="1" s="29"/>
    <row r="328" ht="15.75" customHeight="1" s="29"/>
    <row r="329" ht="15.75" customHeight="1" s="29"/>
    <row r="330" ht="15.75" customHeight="1" s="29"/>
    <row r="331" ht="15.75" customHeight="1" s="29"/>
    <row r="332" ht="15.75" customHeight="1" s="29"/>
    <row r="333" ht="15.75" customHeight="1" s="29"/>
    <row r="334" ht="15.75" customHeight="1" s="29"/>
    <row r="335" ht="15.75" customHeight="1" s="29"/>
    <row r="336" ht="15.75" customHeight="1" s="29"/>
    <row r="337" ht="15.75" customHeight="1" s="29"/>
    <row r="338" ht="15.75" customHeight="1" s="29"/>
    <row r="339" ht="15.75" customHeight="1" s="29"/>
    <row r="340" ht="15.75" customHeight="1" s="29"/>
    <row r="341" ht="15.75" customHeight="1" s="29"/>
    <row r="342" ht="15.75" customHeight="1" s="29"/>
    <row r="343" ht="15.75" customHeight="1" s="29"/>
    <row r="344" ht="15.75" customHeight="1" s="29"/>
    <row r="345" ht="15.75" customHeight="1" s="29"/>
    <row r="346" ht="15.75" customHeight="1" s="29"/>
    <row r="347" ht="15.75" customHeight="1" s="29"/>
    <row r="348" ht="15.75" customHeight="1" s="29"/>
    <row r="349" ht="15.75" customHeight="1" s="29"/>
    <row r="350" ht="15.75" customHeight="1" s="29"/>
    <row r="351" ht="15.75" customHeight="1" s="29"/>
    <row r="352" ht="15.75" customHeight="1" s="29"/>
    <row r="353" ht="15.75" customHeight="1" s="29"/>
    <row r="354" ht="15.75" customHeight="1" s="29"/>
    <row r="355" ht="15.75" customHeight="1" s="29"/>
    <row r="356" ht="15.75" customHeight="1" s="29"/>
    <row r="357" ht="15.75" customHeight="1" s="29"/>
    <row r="358" ht="15.75" customHeight="1" s="29"/>
    <row r="359" ht="15.75" customHeight="1" s="29"/>
    <row r="360" ht="15.75" customHeight="1" s="29"/>
    <row r="361" ht="15.75" customHeight="1" s="29"/>
    <row r="362" ht="15.75" customHeight="1" s="29"/>
    <row r="363" ht="15.75" customHeight="1" s="29"/>
    <row r="364" ht="15.75" customHeight="1" s="29"/>
    <row r="365" ht="15.75" customHeight="1" s="29"/>
    <row r="366" ht="15.75" customHeight="1" s="29"/>
    <row r="367" ht="15.75" customHeight="1" s="29"/>
    <row r="368" ht="15.75" customHeight="1" s="29"/>
    <row r="369" ht="15.75" customHeight="1" s="29"/>
    <row r="370" ht="15.75" customHeight="1" s="29"/>
    <row r="371" ht="15.75" customHeight="1" s="29"/>
    <row r="372" ht="15.75" customHeight="1" s="29"/>
    <row r="373" ht="15.75" customHeight="1" s="29"/>
    <row r="374" ht="15.75" customHeight="1" s="29"/>
    <row r="375" ht="15.75" customHeight="1" s="29"/>
    <row r="376" ht="15.75" customHeight="1" s="29"/>
    <row r="377" ht="15.75" customHeight="1" s="29"/>
    <row r="378" ht="15.75" customHeight="1" s="29"/>
    <row r="379" ht="15.75" customHeight="1" s="29"/>
    <row r="380" ht="15.75" customHeight="1" s="29"/>
    <row r="381" ht="15.75" customHeight="1" s="29"/>
    <row r="382" ht="15.75" customHeight="1" s="29"/>
    <row r="383" ht="15.75" customHeight="1" s="29"/>
    <row r="384" ht="15.75" customHeight="1" s="29"/>
    <row r="385" ht="15.75" customHeight="1" s="29"/>
    <row r="386" ht="15.75" customHeight="1" s="29"/>
    <row r="387" ht="15.75" customHeight="1" s="29"/>
    <row r="388" ht="15.75" customHeight="1" s="29"/>
    <row r="389" ht="15.75" customHeight="1" s="29"/>
    <row r="390" ht="15.75" customHeight="1" s="29"/>
    <row r="391" ht="15.75" customHeight="1" s="29"/>
    <row r="392" ht="15.75" customHeight="1" s="29"/>
    <row r="393" ht="15.75" customHeight="1" s="29"/>
    <row r="394" ht="15.75" customHeight="1" s="29"/>
    <row r="395" ht="15.75" customHeight="1" s="29"/>
    <row r="396" ht="15.75" customHeight="1" s="29"/>
    <row r="397" ht="15.75" customHeight="1" s="29"/>
    <row r="398" ht="15.75" customHeight="1" s="29"/>
    <row r="399" ht="15.75" customHeight="1" s="29"/>
    <row r="400" ht="15.75" customHeight="1" s="29"/>
    <row r="401" ht="15.75" customHeight="1" s="29"/>
    <row r="402" ht="15.75" customHeight="1" s="29"/>
    <row r="403" ht="15.75" customHeight="1" s="29"/>
    <row r="404" ht="15.75" customHeight="1" s="29"/>
    <row r="405" ht="15.75" customHeight="1" s="29"/>
    <row r="406" ht="15.75" customHeight="1" s="29"/>
    <row r="407" ht="15.75" customHeight="1" s="29"/>
    <row r="408" ht="15.75" customHeight="1" s="29"/>
    <row r="409" ht="15.75" customHeight="1" s="29"/>
    <row r="410" ht="15.75" customHeight="1" s="29"/>
    <row r="411" ht="15.75" customHeight="1" s="29"/>
    <row r="412" ht="15.75" customHeight="1" s="29"/>
    <row r="413" ht="15.75" customHeight="1" s="29"/>
    <row r="414" ht="15.75" customHeight="1" s="29"/>
    <row r="415" ht="15.75" customHeight="1" s="29"/>
    <row r="416" ht="15.75" customHeight="1" s="29"/>
    <row r="417" ht="15.75" customHeight="1" s="29"/>
    <row r="418" ht="15.75" customHeight="1" s="29"/>
    <row r="419" ht="15.75" customHeight="1" s="29"/>
    <row r="420" ht="15.75" customHeight="1" s="29"/>
    <row r="421" ht="15.75" customHeight="1" s="29"/>
    <row r="422" ht="15.75" customHeight="1" s="29"/>
    <row r="423" ht="15.75" customHeight="1" s="29"/>
    <row r="424" ht="15.75" customHeight="1" s="29"/>
    <row r="425" ht="15.75" customHeight="1" s="29"/>
    <row r="426" ht="15.75" customHeight="1" s="29"/>
    <row r="427" ht="15.75" customHeight="1" s="29"/>
    <row r="428" ht="15.75" customHeight="1" s="29"/>
    <row r="429" ht="15.75" customHeight="1" s="29"/>
    <row r="430" ht="15.75" customHeight="1" s="29"/>
    <row r="431" ht="15.75" customHeight="1" s="29"/>
    <row r="432" ht="15.75" customHeight="1" s="29"/>
    <row r="433" ht="15.75" customHeight="1" s="29"/>
    <row r="434" ht="15.75" customHeight="1" s="29"/>
    <row r="435" ht="15.75" customHeight="1" s="29"/>
    <row r="436" ht="15.75" customHeight="1" s="29"/>
    <row r="437" ht="15.75" customHeight="1" s="29"/>
    <row r="438" ht="15.75" customHeight="1" s="29"/>
    <row r="439" ht="15.75" customHeight="1" s="29"/>
    <row r="440" ht="15.75" customHeight="1" s="29"/>
    <row r="441" ht="15.75" customHeight="1" s="29"/>
    <row r="442" ht="15.75" customHeight="1" s="29"/>
    <row r="443" ht="15.75" customHeight="1" s="29"/>
    <row r="444" ht="15.75" customHeight="1" s="29"/>
    <row r="445" ht="15.75" customHeight="1" s="29"/>
    <row r="446" ht="15.75" customHeight="1" s="29"/>
    <row r="447" ht="15.75" customHeight="1" s="29"/>
    <row r="448" ht="15.75" customHeight="1" s="29"/>
    <row r="449" ht="15.75" customHeight="1" s="29"/>
    <row r="450" ht="15.75" customHeight="1" s="29"/>
    <row r="451" ht="15.75" customHeight="1" s="29"/>
    <row r="452" ht="15.75" customHeight="1" s="29"/>
    <row r="453" ht="15.75" customHeight="1" s="29"/>
    <row r="454" ht="15.75" customHeight="1" s="29"/>
    <row r="455" ht="15.75" customHeight="1" s="29"/>
    <row r="456" ht="15.75" customHeight="1" s="29"/>
    <row r="457" ht="15.75" customHeight="1" s="29"/>
    <row r="458" ht="15.75" customHeight="1" s="29"/>
    <row r="459" ht="15.75" customHeight="1" s="29"/>
    <row r="460" ht="15.75" customHeight="1" s="29"/>
    <row r="461" ht="15.75" customHeight="1" s="29"/>
    <row r="462" ht="15.75" customHeight="1" s="29"/>
    <row r="463" ht="15.75" customHeight="1" s="29"/>
    <row r="464" ht="15.75" customHeight="1" s="29"/>
    <row r="465" ht="15.75" customHeight="1" s="29"/>
    <row r="466" ht="15.75" customHeight="1" s="29"/>
    <row r="467" ht="15.75" customHeight="1" s="29"/>
    <row r="468" ht="15.75" customHeight="1" s="29"/>
    <row r="469" ht="15.75" customHeight="1" s="29"/>
    <row r="470" ht="15.75" customHeight="1" s="29"/>
    <row r="471" ht="15.75" customHeight="1" s="29"/>
    <row r="472" ht="15.75" customHeight="1" s="29"/>
    <row r="473" ht="15.75" customHeight="1" s="29"/>
    <row r="474" ht="15.75" customHeight="1" s="29"/>
    <row r="475" ht="15.75" customHeight="1" s="29"/>
    <row r="476" ht="15.75" customHeight="1" s="29"/>
    <row r="477" ht="15.75" customHeight="1" s="29"/>
    <row r="478" ht="15.75" customHeight="1" s="29"/>
    <row r="479" ht="15.75" customHeight="1" s="29"/>
    <row r="480" ht="15.75" customHeight="1" s="29"/>
    <row r="481" ht="15.75" customHeight="1" s="29"/>
    <row r="482" ht="15.75" customHeight="1" s="29"/>
    <row r="483" ht="15.75" customHeight="1" s="29"/>
    <row r="484" ht="15.75" customHeight="1" s="29"/>
    <row r="485" ht="15.75" customHeight="1" s="29"/>
    <row r="486" ht="15.75" customHeight="1" s="29"/>
    <row r="487" ht="15.75" customHeight="1" s="29"/>
    <row r="488" ht="15.75" customHeight="1" s="29"/>
    <row r="489" ht="15.75" customHeight="1" s="29"/>
    <row r="490" ht="15.75" customHeight="1" s="29"/>
    <row r="491" ht="15.75" customHeight="1" s="29"/>
    <row r="492" ht="15.75" customHeight="1" s="29"/>
    <row r="493" ht="15.75" customHeight="1" s="29"/>
    <row r="494" ht="15.75" customHeight="1" s="29"/>
    <row r="495" ht="15.75" customHeight="1" s="29"/>
    <row r="496" ht="15.75" customHeight="1" s="29"/>
    <row r="497" ht="15.75" customHeight="1" s="29"/>
    <row r="498" ht="15.75" customHeight="1" s="29"/>
    <row r="499" ht="15.75" customHeight="1" s="29"/>
    <row r="500" ht="15.75" customHeight="1" s="29"/>
    <row r="501" ht="15.75" customHeight="1" s="29"/>
    <row r="502" ht="15.75" customHeight="1" s="29"/>
    <row r="503" ht="15.75" customHeight="1" s="29"/>
    <row r="504" ht="15.75" customHeight="1" s="29"/>
    <row r="505" ht="15.75" customHeight="1" s="29"/>
    <row r="506" ht="15.75" customHeight="1" s="29"/>
    <row r="507" ht="15.75" customHeight="1" s="29"/>
    <row r="508" ht="15.75" customHeight="1" s="29"/>
    <row r="509" ht="15.75" customHeight="1" s="29"/>
    <row r="510" ht="15.75" customHeight="1" s="29"/>
    <row r="511" ht="15.75" customHeight="1" s="29"/>
    <row r="512" ht="15.75" customHeight="1" s="29"/>
    <row r="513" ht="15.75" customHeight="1" s="29"/>
    <row r="514" ht="15.75" customHeight="1" s="29"/>
    <row r="515" ht="15.75" customHeight="1" s="29"/>
    <row r="516" ht="15.75" customHeight="1" s="29"/>
    <row r="517" ht="15.75" customHeight="1" s="29"/>
    <row r="518" ht="15.75" customHeight="1" s="29"/>
    <row r="519" ht="15.75" customHeight="1" s="29"/>
    <row r="520" ht="15.75" customHeight="1" s="29"/>
    <row r="521" ht="15.75" customHeight="1" s="29"/>
    <row r="522" ht="15.75" customHeight="1" s="29"/>
    <row r="523" ht="15.75" customHeight="1" s="29"/>
    <row r="524" ht="15.75" customHeight="1" s="29"/>
    <row r="525" ht="15.75" customHeight="1" s="29"/>
    <row r="526" ht="15.75" customHeight="1" s="29"/>
    <row r="527" ht="15.75" customHeight="1" s="29"/>
    <row r="528" ht="15.75" customHeight="1" s="29"/>
    <row r="529" ht="15.75" customHeight="1" s="29"/>
    <row r="530" ht="15.75" customHeight="1" s="29"/>
    <row r="531" ht="15.75" customHeight="1" s="29"/>
    <row r="532" ht="15.75" customHeight="1" s="29"/>
    <row r="533" ht="15.75" customHeight="1" s="29"/>
    <row r="534" ht="15.75" customHeight="1" s="29"/>
    <row r="535" ht="15.75" customHeight="1" s="29"/>
    <row r="536" ht="15.75" customHeight="1" s="29"/>
    <row r="537" ht="15.75" customHeight="1" s="29"/>
    <row r="538" ht="15.75" customHeight="1" s="29"/>
    <row r="539" ht="15.75" customHeight="1" s="29"/>
    <row r="540" ht="15.75" customHeight="1" s="29"/>
    <row r="541" ht="15.75" customHeight="1" s="29"/>
    <row r="542" ht="15.75" customHeight="1" s="29"/>
    <row r="543" ht="15.75" customHeight="1" s="29"/>
    <row r="544" ht="15.75" customHeight="1" s="29"/>
    <row r="545" ht="15.75" customHeight="1" s="29"/>
    <row r="546" ht="15.75" customHeight="1" s="29"/>
    <row r="547" ht="15.75" customHeight="1" s="29"/>
    <row r="548" ht="15.75" customHeight="1" s="29"/>
    <row r="549" ht="15.75" customHeight="1" s="29"/>
    <row r="550" ht="15.75" customHeight="1" s="29"/>
    <row r="551" ht="15.75" customHeight="1" s="29"/>
    <row r="552" ht="15.75" customHeight="1" s="29"/>
    <row r="553" ht="15.75" customHeight="1" s="29"/>
    <row r="554" ht="15.75" customHeight="1" s="29"/>
    <row r="555" ht="15.75" customHeight="1" s="29"/>
    <row r="556" ht="15.75" customHeight="1" s="29"/>
    <row r="557" ht="15.75" customHeight="1" s="29"/>
    <row r="558" ht="15.75" customHeight="1" s="29"/>
    <row r="559" ht="15.75" customHeight="1" s="29"/>
    <row r="560" ht="15.75" customHeight="1" s="29"/>
    <row r="561" ht="15.75" customHeight="1" s="29"/>
    <row r="562" ht="15.75" customHeight="1" s="29"/>
    <row r="563" ht="15.75" customHeight="1" s="29"/>
    <row r="564" ht="15.75" customHeight="1" s="29"/>
    <row r="565" ht="15.75" customHeight="1" s="29"/>
    <row r="566" ht="15.75" customHeight="1" s="29"/>
    <row r="567" ht="15.75" customHeight="1" s="29"/>
    <row r="568" ht="15.75" customHeight="1" s="29"/>
    <row r="569" ht="15.75" customHeight="1" s="29"/>
    <row r="570" ht="15.75" customHeight="1" s="29"/>
    <row r="571" ht="15.75" customHeight="1" s="29"/>
    <row r="572" ht="15.75" customHeight="1" s="29"/>
    <row r="573" ht="15.75" customHeight="1" s="29"/>
    <row r="574" ht="15.75" customHeight="1" s="29"/>
    <row r="575" ht="15.75" customHeight="1" s="29"/>
    <row r="576" ht="15.75" customHeight="1" s="29"/>
    <row r="577" ht="15.75" customHeight="1" s="29"/>
    <row r="578" ht="15.75" customHeight="1" s="29"/>
    <row r="579" ht="15.75" customHeight="1" s="29"/>
    <row r="580" ht="15.75" customHeight="1" s="29"/>
    <row r="581" ht="15.75" customHeight="1" s="29"/>
    <row r="582" ht="15.75" customHeight="1" s="29"/>
    <row r="583" ht="15.75" customHeight="1" s="29"/>
    <row r="584" ht="15.75" customHeight="1" s="29"/>
    <row r="585" ht="15.75" customHeight="1" s="29"/>
    <row r="586" ht="15.75" customHeight="1" s="29"/>
    <row r="587" ht="15.75" customHeight="1" s="29"/>
    <row r="588" ht="15.75" customHeight="1" s="29"/>
    <row r="589" ht="15.75" customHeight="1" s="29"/>
    <row r="590" ht="15.75" customHeight="1" s="29"/>
    <row r="591" ht="15.75" customHeight="1" s="29"/>
    <row r="592" ht="15.75" customHeight="1" s="29"/>
    <row r="593" ht="15.75" customHeight="1" s="29"/>
    <row r="594" ht="15.75" customHeight="1" s="29"/>
    <row r="595" ht="15.75" customHeight="1" s="29"/>
    <row r="596" ht="15.75" customHeight="1" s="29"/>
    <row r="597" ht="15.75" customHeight="1" s="29"/>
    <row r="598" ht="15.75" customHeight="1" s="29"/>
    <row r="599" ht="15.75" customHeight="1" s="29"/>
    <row r="600" ht="15.75" customHeight="1" s="29"/>
    <row r="601" ht="15.75" customHeight="1" s="29"/>
    <row r="602" ht="15.75" customHeight="1" s="29"/>
    <row r="603" ht="15.75" customHeight="1" s="29"/>
    <row r="604" ht="15.75" customHeight="1" s="29"/>
    <row r="605" ht="15.75" customHeight="1" s="29"/>
    <row r="606" ht="15.75" customHeight="1" s="29"/>
    <row r="607" ht="15.75" customHeight="1" s="29"/>
    <row r="608" ht="15.75" customHeight="1" s="29"/>
    <row r="609" ht="15.75" customHeight="1" s="29"/>
    <row r="610" ht="15.75" customHeight="1" s="29"/>
    <row r="611" ht="15.75" customHeight="1" s="29"/>
    <row r="612" ht="15.75" customHeight="1" s="29"/>
    <row r="613" ht="15.75" customHeight="1" s="29"/>
    <row r="614" ht="15.75" customHeight="1" s="29"/>
    <row r="615" ht="15.75" customHeight="1" s="29"/>
    <row r="616" ht="15.75" customHeight="1" s="29"/>
    <row r="617" ht="15.75" customHeight="1" s="29"/>
    <row r="618" ht="15.75" customHeight="1" s="29"/>
    <row r="619" ht="15.75" customHeight="1" s="29"/>
    <row r="620" ht="15.75" customHeight="1" s="29"/>
    <row r="621" ht="15.75" customHeight="1" s="29"/>
    <row r="622" ht="15.75" customHeight="1" s="29"/>
    <row r="623" ht="15.75" customHeight="1" s="29"/>
    <row r="624" ht="15.75" customHeight="1" s="29"/>
    <row r="625" ht="15.75" customHeight="1" s="29"/>
    <row r="626" ht="15.75" customHeight="1" s="29"/>
    <row r="627" ht="15.75" customHeight="1" s="29"/>
    <row r="628" ht="15.75" customHeight="1" s="29"/>
    <row r="629" ht="15.75" customHeight="1" s="29"/>
    <row r="630" ht="15.75" customHeight="1" s="29"/>
    <row r="631" ht="15.75" customHeight="1" s="29"/>
    <row r="632" ht="15.75" customHeight="1" s="29"/>
    <row r="633" ht="15.75" customHeight="1" s="29"/>
    <row r="634" ht="15.75" customHeight="1" s="29"/>
    <row r="635" ht="15.75" customHeight="1" s="29"/>
    <row r="636" ht="15.75" customHeight="1" s="29"/>
    <row r="637" ht="15.75" customHeight="1" s="29"/>
    <row r="638" ht="15.75" customHeight="1" s="29"/>
    <row r="639" ht="15.75" customHeight="1" s="29"/>
    <row r="640" ht="15.75" customHeight="1" s="29"/>
    <row r="641" ht="15.75" customHeight="1" s="29"/>
    <row r="642" ht="15.75" customHeight="1" s="29"/>
    <row r="643" ht="15.75" customHeight="1" s="29"/>
    <row r="644" ht="15.75" customHeight="1" s="29"/>
    <row r="645" ht="15.75" customHeight="1" s="29"/>
    <row r="646" ht="15.75" customHeight="1" s="29"/>
    <row r="647" ht="15.75" customHeight="1" s="29"/>
    <row r="648" ht="15.75" customHeight="1" s="29"/>
    <row r="649" ht="15.75" customHeight="1" s="29"/>
    <row r="650" ht="15.75" customHeight="1" s="29"/>
    <row r="651" ht="15.75" customHeight="1" s="29"/>
    <row r="652" ht="15.75" customHeight="1" s="29"/>
    <row r="653" ht="15.75" customHeight="1" s="29"/>
    <row r="654" ht="15.75" customHeight="1" s="29"/>
    <row r="655" ht="15.75" customHeight="1" s="29"/>
    <row r="656" ht="15.75" customHeight="1" s="29"/>
    <row r="657" ht="15.75" customHeight="1" s="29"/>
    <row r="658" ht="15.75" customHeight="1" s="29"/>
    <row r="659" ht="15.75" customHeight="1" s="29"/>
    <row r="660" ht="15.75" customHeight="1" s="29"/>
    <row r="661" ht="15.75" customHeight="1" s="29"/>
    <row r="662" ht="15.75" customHeight="1" s="29"/>
    <row r="663" ht="15.75" customHeight="1" s="29"/>
    <row r="664" ht="15.75" customHeight="1" s="29"/>
    <row r="665" ht="15.75" customHeight="1" s="29"/>
    <row r="666" ht="15.75" customHeight="1" s="29"/>
    <row r="667" ht="15.75" customHeight="1" s="29"/>
    <row r="668" ht="15.75" customHeight="1" s="29"/>
    <row r="669" ht="15.75" customHeight="1" s="29"/>
    <row r="670" ht="15.75" customHeight="1" s="29"/>
    <row r="671" ht="15.75" customHeight="1" s="29"/>
    <row r="672" ht="15.75" customHeight="1" s="29"/>
    <row r="673" ht="15.75" customHeight="1" s="29"/>
    <row r="674" ht="15.75" customHeight="1" s="29"/>
    <row r="675" ht="15.75" customHeight="1" s="29"/>
    <row r="676" ht="15.75" customHeight="1" s="29"/>
    <row r="677" ht="15.75" customHeight="1" s="29"/>
    <row r="678" ht="15.75" customHeight="1" s="29"/>
    <row r="679" ht="15.75" customHeight="1" s="29"/>
    <row r="680" ht="15.75" customHeight="1" s="29"/>
    <row r="681" ht="15.75" customHeight="1" s="29"/>
    <row r="682" ht="15.75" customHeight="1" s="29"/>
    <row r="683" ht="15.75" customHeight="1" s="29"/>
    <row r="684" ht="15.75" customHeight="1" s="29"/>
    <row r="685" ht="15.75" customHeight="1" s="29"/>
    <row r="686" ht="15.75" customHeight="1" s="29"/>
    <row r="687" ht="15.75" customHeight="1" s="29"/>
    <row r="688" ht="15.75" customHeight="1" s="29"/>
    <row r="689" ht="15.75" customHeight="1" s="29"/>
    <row r="690" ht="15.75" customHeight="1" s="29"/>
    <row r="691" ht="15.75" customHeight="1" s="29"/>
    <row r="692" ht="15.75" customHeight="1" s="29"/>
    <row r="693" ht="15.75" customHeight="1" s="29"/>
    <row r="694" ht="15.75" customHeight="1" s="29"/>
    <row r="695" ht="15.75" customHeight="1" s="29"/>
    <row r="696" ht="15.75" customHeight="1" s="29"/>
    <row r="697" ht="15.75" customHeight="1" s="29"/>
    <row r="698" ht="15.75" customHeight="1" s="29"/>
    <row r="699" ht="15.75" customHeight="1" s="29"/>
    <row r="700" ht="15.75" customHeight="1" s="29"/>
    <row r="701" ht="15.75" customHeight="1" s="29"/>
    <row r="702" ht="15.75" customHeight="1" s="29"/>
    <row r="703" ht="15.75" customHeight="1" s="29"/>
    <row r="704" ht="15.75" customHeight="1" s="29"/>
    <row r="705" ht="15.75" customHeight="1" s="29"/>
    <row r="706" ht="15.75" customHeight="1" s="29"/>
    <row r="707" ht="15.75" customHeight="1" s="29"/>
    <row r="708" ht="15.75" customHeight="1" s="29"/>
    <row r="709" ht="15.75" customHeight="1" s="29"/>
    <row r="710" ht="15.75" customHeight="1" s="29"/>
    <row r="711" ht="15.75" customHeight="1" s="29"/>
    <row r="712" ht="15.75" customHeight="1" s="29"/>
    <row r="713" ht="15.75" customHeight="1" s="29"/>
    <row r="714" ht="15.75" customHeight="1" s="29"/>
    <row r="715" ht="15.75" customHeight="1" s="29"/>
    <row r="716" ht="15.75" customHeight="1" s="29"/>
    <row r="717" ht="15.75" customHeight="1" s="29"/>
    <row r="718" ht="15.75" customHeight="1" s="29"/>
    <row r="719" ht="15.75" customHeight="1" s="29"/>
    <row r="720" ht="15.75" customHeight="1" s="29"/>
    <row r="721" ht="15.75" customHeight="1" s="29"/>
    <row r="722" ht="15.75" customHeight="1" s="29"/>
    <row r="723" ht="15.75" customHeight="1" s="29"/>
    <row r="724" ht="15.75" customHeight="1" s="29"/>
    <row r="725" ht="15.75" customHeight="1" s="29"/>
    <row r="726" ht="15.75" customHeight="1" s="29"/>
    <row r="727" ht="15.75" customHeight="1" s="29"/>
    <row r="728" ht="15.75" customHeight="1" s="29"/>
    <row r="729" ht="15.75" customHeight="1" s="29"/>
    <row r="730" ht="15.75" customHeight="1" s="29"/>
    <row r="731" ht="15.75" customHeight="1" s="29"/>
    <row r="732" ht="15.75" customHeight="1" s="29"/>
    <row r="733" ht="15.75" customHeight="1" s="29"/>
    <row r="734" ht="15.75" customHeight="1" s="29"/>
    <row r="735" ht="15.75" customHeight="1" s="29"/>
    <row r="736" ht="15.75" customHeight="1" s="29"/>
    <row r="737" ht="15.75" customHeight="1" s="29"/>
    <row r="738" ht="15.75" customHeight="1" s="29"/>
    <row r="739" ht="15.75" customHeight="1" s="29"/>
    <row r="740" ht="15.75" customHeight="1" s="29"/>
    <row r="741" ht="15.75" customHeight="1" s="29"/>
    <row r="742" ht="15.75" customHeight="1" s="29"/>
    <row r="743" ht="15.75" customHeight="1" s="29"/>
    <row r="744" ht="15.75" customHeight="1" s="29"/>
    <row r="745" ht="15.75" customHeight="1" s="29"/>
    <row r="746" ht="15.75" customHeight="1" s="29"/>
    <row r="747" ht="15.75" customHeight="1" s="29"/>
    <row r="748" ht="15.75" customHeight="1" s="29"/>
    <row r="749" ht="15.75" customHeight="1" s="29"/>
    <row r="750" ht="15.75" customHeight="1" s="29"/>
    <row r="751" ht="15.75" customHeight="1" s="29"/>
    <row r="752" ht="15.75" customHeight="1" s="29"/>
    <row r="753" ht="15.75" customHeight="1" s="29"/>
    <row r="754" ht="15.75" customHeight="1" s="29"/>
    <row r="755" ht="15.75" customHeight="1" s="29"/>
    <row r="756" ht="15.75" customHeight="1" s="29"/>
    <row r="757" ht="15.75" customHeight="1" s="29"/>
    <row r="758" ht="15.75" customHeight="1" s="29"/>
    <row r="759" ht="15.75" customHeight="1" s="29"/>
    <row r="760" ht="15.75" customHeight="1" s="29"/>
    <row r="761" ht="15.75" customHeight="1" s="29"/>
    <row r="762" ht="15.75" customHeight="1" s="29"/>
    <row r="763" ht="15.75" customHeight="1" s="29"/>
    <row r="764" ht="15.75" customHeight="1" s="29"/>
    <row r="765" ht="15.75" customHeight="1" s="29"/>
    <row r="766" ht="15.75" customHeight="1" s="29"/>
    <row r="767" ht="15.75" customHeight="1" s="29"/>
    <row r="768" ht="15.75" customHeight="1" s="29"/>
    <row r="769" ht="15.75" customHeight="1" s="29"/>
    <row r="770" ht="15.75" customHeight="1" s="29"/>
    <row r="771" ht="15.75" customHeight="1" s="29"/>
    <row r="772" ht="15.75" customHeight="1" s="29"/>
    <row r="773" ht="15.75" customHeight="1" s="29"/>
    <row r="774" ht="15.75" customHeight="1" s="29"/>
    <row r="775" ht="15.75" customHeight="1" s="29"/>
    <row r="776" ht="15.75" customHeight="1" s="29"/>
    <row r="777" ht="15.75" customHeight="1" s="29"/>
    <row r="778" ht="15.75" customHeight="1" s="29"/>
    <row r="779" ht="15.75" customHeight="1" s="29"/>
    <row r="780" ht="15.75" customHeight="1" s="29"/>
    <row r="781" ht="15.75" customHeight="1" s="29"/>
    <row r="782" ht="15.75" customHeight="1" s="29"/>
    <row r="783" ht="15.75" customHeight="1" s="29"/>
    <row r="784" ht="15.75" customHeight="1" s="29"/>
    <row r="785" ht="15.75" customHeight="1" s="29"/>
    <row r="786" ht="15.75" customHeight="1" s="29"/>
    <row r="787" ht="15.75" customHeight="1" s="29"/>
    <row r="788" ht="15.75" customHeight="1" s="29"/>
    <row r="789" ht="15.75" customHeight="1" s="29"/>
    <row r="790" ht="15.75" customHeight="1" s="29"/>
    <row r="791" ht="15.75" customHeight="1" s="29"/>
    <row r="792" ht="15.75" customHeight="1" s="29"/>
    <row r="793" ht="15.75" customHeight="1" s="29"/>
    <row r="794" ht="15.75" customHeight="1" s="29"/>
    <row r="795" ht="15.75" customHeight="1" s="29"/>
    <row r="796" ht="15.75" customHeight="1" s="29"/>
    <row r="797" ht="15.75" customHeight="1" s="29"/>
    <row r="798" ht="15.75" customHeight="1" s="29"/>
    <row r="799" ht="15.75" customHeight="1" s="29"/>
    <row r="800" ht="15.75" customHeight="1" s="29"/>
    <row r="801" ht="15.75" customHeight="1" s="29"/>
    <row r="802" ht="15.75" customHeight="1" s="29"/>
    <row r="803" ht="15.75" customHeight="1" s="29"/>
    <row r="804" ht="15.75" customHeight="1" s="29"/>
    <row r="805" ht="15.75" customHeight="1" s="29"/>
    <row r="806" ht="15.75" customHeight="1" s="29"/>
    <row r="807" ht="15.75" customHeight="1" s="29"/>
    <row r="808" ht="15.75" customHeight="1" s="29"/>
    <row r="809" ht="15.75" customHeight="1" s="29"/>
    <row r="810" ht="15.75" customHeight="1" s="29"/>
    <row r="811" ht="15.75" customHeight="1" s="29"/>
    <row r="812" ht="15.75" customHeight="1" s="29"/>
    <row r="813" ht="15.75" customHeight="1" s="29"/>
    <row r="814" ht="15.75" customHeight="1" s="29"/>
    <row r="815" ht="15.75" customHeight="1" s="29"/>
    <row r="816" ht="15.75" customHeight="1" s="29"/>
    <row r="817" ht="15.75" customHeight="1" s="29"/>
    <row r="818" ht="15.75" customHeight="1" s="29"/>
    <row r="819" ht="15.75" customHeight="1" s="29"/>
    <row r="820" ht="15.75" customHeight="1" s="29"/>
    <row r="821" ht="15.75" customHeight="1" s="29"/>
    <row r="822" ht="15.75" customHeight="1" s="29"/>
    <row r="823" ht="15.75" customHeight="1" s="29"/>
    <row r="824" ht="15.75" customHeight="1" s="29"/>
    <row r="825" ht="15.75" customHeight="1" s="29"/>
    <row r="826" ht="15.75" customHeight="1" s="29"/>
    <row r="827" ht="15.75" customHeight="1" s="29"/>
    <row r="828" ht="15.75" customHeight="1" s="29"/>
    <row r="829" ht="15.75" customHeight="1" s="29"/>
    <row r="830" ht="15.75" customHeight="1" s="29"/>
    <row r="831" ht="15.75" customHeight="1" s="29"/>
    <row r="832" ht="15.75" customHeight="1" s="29"/>
    <row r="833" ht="15.75" customHeight="1" s="29"/>
    <row r="834" ht="15.75" customHeight="1" s="29"/>
    <row r="835" ht="15.75" customHeight="1" s="29"/>
    <row r="836" ht="15.75" customHeight="1" s="29"/>
    <row r="837" ht="15.75" customHeight="1" s="29"/>
    <row r="838" ht="15.75" customHeight="1" s="29"/>
    <row r="839" ht="15.75" customHeight="1" s="29"/>
    <row r="840" ht="15.75" customHeight="1" s="29"/>
    <row r="841" ht="15.75" customHeight="1" s="29"/>
    <row r="842" ht="15.75" customHeight="1" s="29"/>
    <row r="843" ht="15.75" customHeight="1" s="29"/>
    <row r="844" ht="15.75" customHeight="1" s="29"/>
    <row r="845" ht="15.75" customHeight="1" s="29"/>
    <row r="846" ht="15.75" customHeight="1" s="29"/>
    <row r="847" ht="15.75" customHeight="1" s="29"/>
    <row r="848" ht="15.75" customHeight="1" s="29"/>
    <row r="849" ht="15.75" customHeight="1" s="29"/>
    <row r="850" ht="15.75" customHeight="1" s="29"/>
    <row r="851" ht="15.75" customHeight="1" s="29"/>
    <row r="852" ht="15.75" customHeight="1" s="29"/>
    <row r="853" ht="15.75" customHeight="1" s="29"/>
    <row r="854" ht="15.75" customHeight="1" s="29"/>
    <row r="855" ht="15.75" customHeight="1" s="29"/>
    <row r="856" ht="15.75" customHeight="1" s="29"/>
    <row r="857" ht="15.75" customHeight="1" s="29"/>
    <row r="858" ht="15.75" customHeight="1" s="29"/>
    <row r="859" ht="15.75" customHeight="1" s="29"/>
    <row r="860" ht="15.75" customHeight="1" s="29"/>
    <row r="861" ht="15.75" customHeight="1" s="29"/>
    <row r="862" ht="15.75" customHeight="1" s="29"/>
    <row r="863" ht="15.75" customHeight="1" s="29"/>
    <row r="864" ht="15.75" customHeight="1" s="29"/>
    <row r="865" ht="15.75" customHeight="1" s="29"/>
    <row r="866" ht="15.75" customHeight="1" s="29"/>
    <row r="867" ht="15.75" customHeight="1" s="29"/>
    <row r="868" ht="15.75" customHeight="1" s="29"/>
    <row r="869" ht="15.75" customHeight="1" s="29"/>
    <row r="870" ht="15.75" customHeight="1" s="29"/>
    <row r="871" ht="15.75" customHeight="1" s="29"/>
    <row r="872" ht="15.75" customHeight="1" s="29"/>
    <row r="873" ht="15.75" customHeight="1" s="29"/>
    <row r="874" ht="15.75" customHeight="1" s="29"/>
    <row r="875" ht="15.75" customHeight="1" s="29"/>
    <row r="876" ht="15.75" customHeight="1" s="29"/>
    <row r="877" ht="15.75" customHeight="1" s="29"/>
    <row r="878" ht="15.75" customHeight="1" s="29"/>
    <row r="879" ht="15.75" customHeight="1" s="29"/>
    <row r="880" ht="15.75" customHeight="1" s="29"/>
    <row r="881" ht="15.75" customHeight="1" s="29"/>
    <row r="882" ht="15.75" customHeight="1" s="29"/>
    <row r="883" ht="15.75" customHeight="1" s="29"/>
    <row r="884" ht="15.75" customHeight="1" s="29"/>
    <row r="885" ht="15.75" customHeight="1" s="29"/>
    <row r="886" ht="15.75" customHeight="1" s="29"/>
    <row r="887" ht="15.75" customHeight="1" s="29"/>
    <row r="888" ht="15.75" customHeight="1" s="29"/>
    <row r="889" ht="15.75" customHeight="1" s="29"/>
    <row r="890" ht="15.75" customHeight="1" s="29"/>
    <row r="891" ht="15.75" customHeight="1" s="29"/>
    <row r="892" ht="15.75" customHeight="1" s="29"/>
    <row r="893" ht="15.75" customHeight="1" s="29"/>
    <row r="894" ht="15.75" customHeight="1" s="29"/>
    <row r="895" ht="15.75" customHeight="1" s="29"/>
    <row r="896" ht="15.75" customHeight="1" s="29"/>
    <row r="897" ht="15.75" customHeight="1" s="29"/>
    <row r="898" ht="15.75" customHeight="1" s="29"/>
    <row r="899" ht="15.75" customHeight="1" s="29"/>
    <row r="900" ht="15.75" customHeight="1" s="29"/>
    <row r="901" ht="15.75" customHeight="1" s="29"/>
    <row r="902" ht="15.75" customHeight="1" s="29"/>
    <row r="903" ht="15.75" customHeight="1" s="29"/>
    <row r="904" ht="15.75" customHeight="1" s="29"/>
    <row r="905" ht="15.75" customHeight="1" s="29"/>
    <row r="906" ht="15.75" customHeight="1" s="29"/>
    <row r="907" ht="15.75" customHeight="1" s="29"/>
    <row r="908" ht="15.75" customHeight="1" s="29"/>
    <row r="909" ht="15.75" customHeight="1" s="29"/>
    <row r="910" ht="15.75" customHeight="1" s="29"/>
    <row r="911" ht="15.75" customHeight="1" s="29"/>
    <row r="912" ht="15.75" customHeight="1" s="29"/>
    <row r="913" ht="15.75" customHeight="1" s="29"/>
    <row r="914" ht="15.75" customHeight="1" s="29"/>
    <row r="915" ht="15.75" customHeight="1" s="29"/>
    <row r="916" ht="15.75" customHeight="1" s="29"/>
    <row r="917" ht="15.75" customHeight="1" s="29"/>
    <row r="918" ht="15.75" customHeight="1" s="29"/>
    <row r="919" ht="15.75" customHeight="1" s="29"/>
    <row r="920" ht="15.75" customHeight="1" s="29"/>
    <row r="921" ht="15.75" customHeight="1" s="29"/>
    <row r="922" ht="15.75" customHeight="1" s="29"/>
    <row r="923" ht="15.75" customHeight="1" s="29"/>
    <row r="924" ht="15.75" customHeight="1" s="29"/>
    <row r="925" ht="15.75" customHeight="1" s="29"/>
    <row r="926" ht="15.75" customHeight="1" s="29"/>
    <row r="927" ht="15.75" customHeight="1" s="29"/>
    <row r="928" ht="15.75" customHeight="1" s="29"/>
    <row r="929" ht="15.75" customHeight="1" s="29"/>
    <row r="930" ht="15.75" customHeight="1" s="29"/>
    <row r="931" ht="15.75" customHeight="1" s="29"/>
    <row r="932" ht="15.75" customHeight="1" s="29"/>
    <row r="933" ht="15.75" customHeight="1" s="29"/>
    <row r="934" ht="15.75" customHeight="1" s="29"/>
    <row r="935" ht="15.75" customHeight="1" s="29"/>
    <row r="936" ht="15.75" customHeight="1" s="29"/>
    <row r="937" ht="15.75" customHeight="1" s="29"/>
    <row r="938" ht="15.75" customHeight="1" s="29"/>
    <row r="939" ht="15.75" customHeight="1" s="29"/>
    <row r="940" ht="15.75" customHeight="1" s="29"/>
    <row r="941" ht="15.75" customHeight="1" s="29"/>
    <row r="942" ht="15.75" customHeight="1" s="29"/>
    <row r="943" ht="15.75" customHeight="1" s="29"/>
    <row r="944" ht="15.75" customHeight="1" s="29"/>
    <row r="945" ht="15.75" customHeight="1" s="29"/>
    <row r="946" ht="15.75" customHeight="1" s="29"/>
    <row r="947" ht="15.75" customHeight="1" s="29"/>
    <row r="948" ht="15.75" customHeight="1" s="29"/>
    <row r="949" ht="15.75" customHeight="1" s="29"/>
    <row r="950" ht="15.75" customHeight="1" s="29"/>
    <row r="951" ht="15.75" customHeight="1" s="29"/>
    <row r="952" ht="15.75" customHeight="1" s="29"/>
    <row r="953" ht="15.75" customHeight="1" s="29"/>
    <row r="954" ht="15.75" customHeight="1" s="29"/>
    <row r="955" ht="15.75" customHeight="1" s="29"/>
    <row r="956" ht="15.75" customHeight="1" s="29"/>
    <row r="957" ht="15.75" customHeight="1" s="29"/>
    <row r="958" ht="15.75" customHeight="1" s="29"/>
    <row r="959" ht="15.75" customHeight="1" s="29"/>
    <row r="960" ht="15.75" customHeight="1" s="29"/>
    <row r="961" ht="15.75" customHeight="1" s="29"/>
    <row r="962" ht="15.75" customHeight="1" s="29"/>
    <row r="963" ht="15.75" customHeight="1" s="29"/>
    <row r="964" ht="15.75" customHeight="1" s="29"/>
    <row r="965" ht="15.75" customHeight="1" s="29"/>
    <row r="966" ht="15.75" customHeight="1" s="29"/>
    <row r="967" ht="15.75" customHeight="1" s="29"/>
    <row r="968" ht="15.75" customHeight="1" s="29"/>
    <row r="969" ht="15.75" customHeight="1" s="29"/>
    <row r="970" ht="15.75" customHeight="1" s="29"/>
    <row r="971" ht="15.75" customHeight="1" s="29"/>
    <row r="972" ht="15.75" customHeight="1" s="29"/>
    <row r="973" ht="15.75" customHeight="1" s="29"/>
    <row r="974" ht="15.75" customHeight="1" s="29"/>
    <row r="975" ht="15.75" customHeight="1" s="29"/>
    <row r="976" ht="15.75" customHeight="1" s="29"/>
    <row r="977" ht="15.75" customHeight="1" s="29"/>
    <row r="978" ht="15.75" customHeight="1" s="29"/>
    <row r="979" ht="15.75" customHeight="1" s="29"/>
    <row r="980" ht="15.75" customHeight="1" s="29"/>
    <row r="981" ht="15.75" customHeight="1" s="29"/>
    <row r="982" ht="15.75" customHeight="1" s="29"/>
    <row r="983" ht="15.75" customHeight="1" s="29"/>
    <row r="984" ht="15.75" customHeight="1" s="29"/>
    <row r="985" ht="15.75" customHeight="1" s="29"/>
    <row r="986" ht="15.75" customHeight="1" s="29"/>
    <row r="987" ht="15.75" customHeight="1" s="29"/>
    <row r="988" ht="15.75" customHeight="1" s="29"/>
    <row r="989" ht="15.75" customHeight="1" s="29"/>
    <row r="990" ht="15.75" customHeight="1" s="29"/>
    <row r="991" ht="15.75" customHeight="1" s="29"/>
    <row r="992" ht="15.75" customHeight="1" s="29"/>
    <row r="993" ht="15.75" customHeight="1" s="29"/>
    <row r="994" ht="15.75" customHeight="1" s="29"/>
    <row r="995" ht="15.75" customHeight="1" s="29"/>
    <row r="996" ht="15.75" customHeight="1" s="29"/>
    <row r="997" ht="15.75" customHeight="1" s="29"/>
    <row r="998" ht="15.75" customHeight="1" s="29"/>
    <row r="999" ht="15.75" customHeight="1" s="29"/>
    <row r="1000" ht="15.75" customHeight="1" s="29"/>
  </sheetData>
  <mergeCells count="6">
    <mergeCell ref="B11:J11"/>
    <mergeCell ref="B5:J5"/>
    <mergeCell ref="B61:J61"/>
    <mergeCell ref="B46:J46"/>
    <mergeCell ref="B36:J36"/>
    <mergeCell ref="B54:J54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ColWidth="14.43" defaultRowHeight="15" customHeight="1"/>
  <cols>
    <col width="83" customWidth="1" style="29" min="1" max="1"/>
    <col width="22" customWidth="1" style="29" min="2" max="2"/>
    <col width="27" customWidth="1" style="29" min="3" max="4"/>
    <col width="15" customWidth="1" style="29" min="5" max="5"/>
    <col width="28" customWidth="1" style="29" min="6" max="6"/>
    <col width="15" customWidth="1" style="29" min="7" max="7"/>
    <col width="51" customWidth="1" style="29" min="8" max="8"/>
    <col width="8.710000000000001" customWidth="1" style="29" min="9" max="26"/>
  </cols>
  <sheetData>
    <row r="1">
      <c r="A1" s="1" t="inlineStr">
        <is>
          <t>CƠ SỞ ĐƠN GIÁ GIỜ CÔNG VÀ PHÂN BỔ NGUỒN LỰC NHÂN SỰ</t>
        </is>
      </c>
    </row>
    <row r="2">
      <c r="A2" s="2" t="inlineStr">
        <is>
          <t>Cấu thành chi phí nhân công trực tiếp (3.200 giờ công / 12 nhân sự chuyên trách)</t>
        </is>
      </c>
    </row>
    <row r="4">
      <c r="A4" s="4" t="inlineStr">
        <is>
          <t>STT</t>
        </is>
      </c>
      <c r="B4" s="4" t="inlineStr">
        <is>
          <t>Họ và Tên</t>
        </is>
      </c>
      <c r="C4" s="4" t="inlineStr">
        <is>
          <t>Vị Trí / Vai Trò</t>
        </is>
      </c>
      <c r="D4" s="4" t="inlineStr">
        <is>
          <t>Đơn Giá Chưa VAT (VNĐ/h)</t>
        </is>
      </c>
      <c r="E4" s="4" t="inlineStr">
        <is>
          <t>Tổng Số Giờ</t>
        </is>
      </c>
      <c r="F4" s="4" t="inlineStr">
        <is>
          <t>Thành Tiền Chưa VAT (VNĐ)</t>
        </is>
      </c>
      <c r="G4" s="4" t="inlineStr">
        <is>
          <t>Tỷ Trọng (%)</t>
        </is>
      </c>
      <c r="H4" s="4" t="inlineStr">
        <is>
          <t>Ghi Chú Module Phụ Trách</t>
        </is>
      </c>
    </row>
    <row r="5">
      <c r="A5" s="9" t="n">
        <v>1</v>
      </c>
      <c r="B5" s="27" t="inlineStr">
        <is>
          <t>Nguyễn Đức Tân</t>
        </is>
      </c>
      <c r="C5" s="27" t="inlineStr">
        <is>
          <t>PM - Quản lý dự án</t>
        </is>
      </c>
      <c r="D5" s="30" t="n">
        <v>320000</v>
      </c>
      <c r="E5" s="30" t="n">
        <v>260</v>
      </c>
      <c r="F5" s="30">
        <f>D5*E5</f>
        <v/>
      </c>
      <c r="G5" s="17">
        <f>F5/$F$18</f>
        <v/>
      </c>
      <c r="H5" s="27" t="inlineStr">
        <is>
          <t>Quản trị tổng thể, điều phối Scope/Cost/Schedule</t>
        </is>
      </c>
    </row>
    <row r="6">
      <c r="A6" s="9" t="n">
        <v>2</v>
      </c>
      <c r="B6" s="27" t="inlineStr">
        <is>
          <t>Nguyễn Hải Đăng</t>
        </is>
      </c>
      <c r="C6" s="27" t="inlineStr">
        <is>
          <t>SA - Kiến trúc hệ thống</t>
        </is>
      </c>
      <c r="D6" s="30" t="n">
        <v>300000</v>
      </c>
      <c r="E6" s="30" t="n">
        <v>270</v>
      </c>
      <c r="F6" s="30">
        <f>D6*E6</f>
        <v/>
      </c>
      <c r="G6" s="17">
        <f>F6/$F$18</f>
        <v/>
      </c>
      <c r="H6" s="27" t="inlineStr">
        <is>
          <t>Thiết kế kiến trúc 24/7, Selling DB &amp; API Spec</t>
        </is>
      </c>
    </row>
    <row r="7">
      <c r="A7" s="9" t="n">
        <v>3</v>
      </c>
      <c r="B7" s="27" t="inlineStr">
        <is>
          <t>Đinh Đức Thắng</t>
        </is>
      </c>
      <c r="C7" s="27" t="inlineStr">
        <is>
          <t>BA - Phân tích nghiệp vụ</t>
        </is>
      </c>
      <c r="D7" s="30" t="n">
        <v>280000</v>
      </c>
      <c r="E7" s="30" t="n">
        <v>340</v>
      </c>
      <c r="F7" s="30">
        <f>D7*E7</f>
        <v/>
      </c>
      <c r="G7" s="17">
        <f>F7/$F$18</f>
        <v/>
      </c>
      <c r="H7" s="27" t="inlineStr">
        <is>
          <t>Khảo sát AS-IS, SRS, luồng TO-BE &amp; UAT</t>
        </is>
      </c>
    </row>
    <row r="8">
      <c r="A8" s="9" t="n">
        <v>4</v>
      </c>
      <c r="B8" s="27" t="inlineStr">
        <is>
          <t>Nguyễn Thị Thu Thủy</t>
        </is>
      </c>
      <c r="C8" s="27" t="inlineStr">
        <is>
          <t>UX - Thiết kế giao diện</t>
        </is>
      </c>
      <c r="D8" s="30" t="n">
        <v>260000</v>
      </c>
      <c r="E8" s="30" t="n">
        <v>190</v>
      </c>
      <c r="F8" s="30">
        <f>D8*E8</f>
        <v/>
      </c>
      <c r="G8" s="17">
        <f>F8/$F$18</f>
        <v/>
      </c>
      <c r="H8" s="27" t="inlineStr">
        <is>
          <t>UI/UX, Wireframe, Mockup, Menu Layer</t>
        </is>
      </c>
    </row>
    <row r="9">
      <c r="A9" s="9" t="n">
        <v>5</v>
      </c>
      <c r="B9" s="27" t="inlineStr">
        <is>
          <t>Nguyễn Thị Phương</t>
        </is>
      </c>
      <c r="C9" s="27" t="inlineStr">
        <is>
          <t>DEV1 - Lập trình chính</t>
        </is>
      </c>
      <c r="D9" s="30" t="n">
        <v>260000</v>
      </c>
      <c r="E9" s="30" t="n">
        <v>390</v>
      </c>
      <c r="F9" s="30">
        <f>D9*E9</f>
        <v/>
      </c>
      <c r="G9" s="17">
        <f>F9/$F$18</f>
        <v/>
      </c>
      <c r="H9" s="27" t="inlineStr">
        <is>
          <t>Phân hệ Khách hàng và Tích hợp</t>
        </is>
      </c>
    </row>
    <row r="10">
      <c r="A10" s="9" t="n">
        <v>6</v>
      </c>
      <c r="B10" s="27" t="inlineStr">
        <is>
          <t>Vũ Tuấn A</t>
        </is>
      </c>
      <c r="C10" s="27" t="inlineStr">
        <is>
          <t>DEV2 - Lập trình viên</t>
        </is>
      </c>
      <c r="D10" s="30" t="n">
        <v>250000</v>
      </c>
      <c r="E10" s="30" t="n">
        <v>370</v>
      </c>
      <c r="F10" s="30">
        <f>D10*E10</f>
        <v/>
      </c>
      <c r="G10" s="17">
        <f>F10/$F$18</f>
        <v/>
      </c>
      <c r="H10" s="27" t="inlineStr">
        <is>
          <t>Phân hệ Sản phẩm, Tìm kiếm và Tồn kho</t>
        </is>
      </c>
    </row>
    <row r="11">
      <c r="A11" s="9" t="n">
        <v>7</v>
      </c>
      <c r="B11" s="27" t="inlineStr">
        <is>
          <t>Nguyễn Ngọc B</t>
        </is>
      </c>
      <c r="C11" s="27" t="inlineStr">
        <is>
          <t>DEV3 - Lập trình viên</t>
        </is>
      </c>
      <c r="D11" s="30" t="n">
        <v>250000</v>
      </c>
      <c r="E11" s="30" t="n">
        <v>370</v>
      </c>
      <c r="F11" s="30">
        <f>D11*E11</f>
        <v/>
      </c>
      <c r="G11" s="17">
        <f>F11/$F$18</f>
        <v/>
      </c>
      <c r="H11" s="27" t="inlineStr">
        <is>
          <t>Phân hệ Đơn hàng, Thanh toán và Logistics</t>
        </is>
      </c>
    </row>
    <row r="12">
      <c r="A12" s="9" t="n">
        <v>8</v>
      </c>
      <c r="B12" s="27" t="inlineStr">
        <is>
          <t>Nguyễn Hữu C</t>
        </is>
      </c>
      <c r="C12" s="27" t="inlineStr">
        <is>
          <t>QC1 - Kiểm thử trưởng</t>
        </is>
      </c>
      <c r="D12" s="30" t="n">
        <v>250000</v>
      </c>
      <c r="E12" s="30" t="n">
        <v>240</v>
      </c>
      <c r="F12" s="30">
        <f>D12*E12</f>
        <v/>
      </c>
      <c r="G12" s="17">
        <f>F12/$F$18</f>
        <v/>
      </c>
      <c r="H12" s="27" t="inlineStr">
        <is>
          <t>SIT, Kiểm thử hiệu năng P95&lt;=2s &amp; Tự động hóa</t>
        </is>
      </c>
    </row>
    <row r="13">
      <c r="A13" s="9" t="n">
        <v>9</v>
      </c>
      <c r="B13" s="27" t="inlineStr">
        <is>
          <t>Phạm Minh D</t>
        </is>
      </c>
      <c r="C13" s="27" t="inlineStr">
        <is>
          <t>QC2 - Chuyên viên QC</t>
        </is>
      </c>
      <c r="D13" s="30" t="n">
        <v>230000</v>
      </c>
      <c r="E13" s="30" t="n">
        <v>210</v>
      </c>
      <c r="F13" s="30">
        <f>D13*E13</f>
        <v/>
      </c>
      <c r="G13" s="17">
        <f>F13/$F$18</f>
        <v/>
      </c>
      <c r="H13" s="27" t="inlineStr">
        <is>
          <t>Kiểm thử chức năng, Security OWASP &amp; UAT</t>
        </is>
      </c>
    </row>
    <row r="14">
      <c r="A14" s="9" t="n">
        <v>10</v>
      </c>
      <c r="B14" s="27" t="inlineStr">
        <is>
          <t>Trần Hùng E</t>
        </is>
      </c>
      <c r="C14" s="27" t="inlineStr">
        <is>
          <t>OPS - Kỹ sư DevOps/Infra</t>
        </is>
      </c>
      <c r="D14" s="30" t="n">
        <v>250000</v>
      </c>
      <c r="E14" s="30" t="n">
        <v>170</v>
      </c>
      <c r="F14" s="30">
        <f>D14*E14</f>
        <v/>
      </c>
      <c r="G14" s="17">
        <f>F14/$F$18</f>
        <v/>
      </c>
      <c r="H14" s="27" t="inlineStr">
        <is>
          <t>Thiết lập Cloud DEV/PROD, CI/CD &amp; Cut-over</t>
        </is>
      </c>
    </row>
    <row r="15">
      <c r="A15" s="9" t="n">
        <v>11</v>
      </c>
      <c r="B15" s="27" t="inlineStr">
        <is>
          <t>Nguyễn Văn F</t>
        </is>
      </c>
      <c r="C15" s="27" t="inlineStr">
        <is>
          <t>DEV4 - Lập trình viên</t>
        </is>
      </c>
      <c r="D15" s="30" t="n">
        <v>210000</v>
      </c>
      <c r="E15" s="30" t="n">
        <v>190</v>
      </c>
      <c r="F15" s="30">
        <f>D15*E15</f>
        <v/>
      </c>
      <c r="G15" s="17">
        <f>F15/$F$18</f>
        <v/>
      </c>
      <c r="H15" s="27" t="inlineStr">
        <is>
          <t>Cổng thanh toán và Tích hợp API Gateway</t>
        </is>
      </c>
    </row>
    <row r="16">
      <c r="A16" s="9" t="n">
        <v>12</v>
      </c>
      <c r="B16" s="27" t="inlineStr">
        <is>
          <t>Nguyễn Văn G</t>
        </is>
      </c>
      <c r="C16" s="27" t="inlineStr">
        <is>
          <t>DEV5 - Lập trình viên</t>
        </is>
      </c>
      <c r="D16" s="30" t="n">
        <v>208947.368421053</v>
      </c>
      <c r="E16" s="30" t="n">
        <v>190</v>
      </c>
      <c r="F16" s="30">
        <f>D16*E16</f>
        <v/>
      </c>
      <c r="G16" s="17">
        <f>F16/$F$18</f>
        <v/>
      </c>
      <c r="H16" s="27" t="inlineStr">
        <is>
          <t>Cơ sở dữ liệu Selling DB và Tối ưu hiệu năng</t>
        </is>
      </c>
    </row>
    <row r="18">
      <c r="A18" s="9" t="inlineStr">
        <is>
          <t>TỔNG CỘNG CHI PHÍ NHÂN CÔNG TRỰC TIẾP (CHƯA VAT)</t>
        </is>
      </c>
      <c r="B18" s="27" t="n"/>
      <c r="C18" s="27" t="n"/>
      <c r="D18" s="30" t="n"/>
      <c r="E18" s="30">
        <f>SUM(E5:E16)</f>
        <v/>
      </c>
      <c r="F18" s="30">
        <f>SUM(F5:F16)</f>
        <v/>
      </c>
      <c r="G18" s="17">
        <f>SUM(G5:G16)</f>
        <v/>
      </c>
      <c r="H18" s="27" t="n"/>
    </row>
    <row r="21" ht="15.75" customHeight="1" s="29"/>
    <row r="22" ht="15.75" customHeight="1" s="29"/>
    <row r="23" ht="15.75" customHeight="1" s="29"/>
    <row r="24" ht="15.75" customHeight="1" s="29"/>
    <row r="25" ht="15.75" customHeight="1" s="29"/>
    <row r="26" ht="15.75" customHeight="1" s="29"/>
    <row r="27" ht="15.75" customHeight="1" s="29"/>
    <row r="28" ht="15.75" customHeight="1" s="29"/>
    <row r="29" ht="15.75" customHeight="1" s="29"/>
    <row r="30" ht="15.75" customHeight="1" s="29"/>
    <row r="31" ht="15.75" customHeight="1" s="29"/>
    <row r="32" ht="15.75" customHeight="1" s="29"/>
    <row r="33" ht="15.75" customHeight="1" s="29"/>
    <row r="34" ht="15.75" customHeight="1" s="29"/>
    <row r="35" ht="15.75" customHeight="1" s="29"/>
    <row r="36" ht="15.75" customHeight="1" s="29"/>
    <row r="37" ht="15.75" customHeight="1" s="29"/>
    <row r="38" ht="15.75" customHeight="1" s="29"/>
    <row r="39" ht="15.75" customHeight="1" s="29"/>
    <row r="40" ht="15.75" customHeight="1" s="29"/>
    <row r="41" ht="15.75" customHeight="1" s="29"/>
    <row r="42" ht="15.75" customHeight="1" s="29"/>
    <row r="43" ht="15.75" customHeight="1" s="29"/>
    <row r="44" ht="15.75" customHeight="1" s="29"/>
    <row r="45" ht="15.75" customHeight="1" s="29"/>
    <row r="46" ht="15.75" customHeight="1" s="29"/>
    <row r="47" ht="15.75" customHeight="1" s="29"/>
    <row r="48" ht="15.75" customHeight="1" s="29"/>
    <row r="49" ht="15.75" customHeight="1" s="29"/>
    <row r="50" ht="15.75" customHeight="1" s="29"/>
    <row r="51" ht="15.75" customHeight="1" s="29"/>
    <row r="52" ht="15.75" customHeight="1" s="29"/>
    <row r="53" ht="15.75" customHeight="1" s="29"/>
    <row r="54" ht="15.75" customHeight="1" s="29"/>
    <row r="55" ht="15.75" customHeight="1" s="29"/>
    <row r="56" ht="15.75" customHeight="1" s="29"/>
    <row r="57" ht="15.75" customHeight="1" s="29"/>
    <row r="58" ht="15.75" customHeight="1" s="29"/>
    <row r="59" ht="15.75" customHeight="1" s="29"/>
    <row r="60" ht="15.75" customHeight="1" s="29"/>
    <row r="61" ht="15.75" customHeight="1" s="29"/>
    <row r="62" ht="15.75" customHeight="1" s="29"/>
    <row r="63" ht="15.75" customHeight="1" s="29"/>
    <row r="64" ht="15.75" customHeight="1" s="29"/>
    <row r="65" ht="15.75" customHeight="1" s="29"/>
    <row r="66" ht="15.75" customHeight="1" s="29"/>
    <row r="67" ht="15.75" customHeight="1" s="29"/>
    <row r="68" ht="15.75" customHeight="1" s="29"/>
    <row r="69" ht="15.75" customHeight="1" s="29"/>
    <row r="70" ht="15.75" customHeight="1" s="29"/>
    <row r="71" ht="15.75" customHeight="1" s="29"/>
    <row r="72" ht="15.75" customHeight="1" s="29"/>
    <row r="73" ht="15.75" customHeight="1" s="29"/>
    <row r="74" ht="15.75" customHeight="1" s="29"/>
    <row r="75" ht="15.75" customHeight="1" s="29"/>
    <row r="76" ht="15.75" customHeight="1" s="29"/>
    <row r="77" ht="15.75" customHeight="1" s="29"/>
    <row r="78" ht="15.75" customHeight="1" s="29"/>
    <row r="79" ht="15.75" customHeight="1" s="29"/>
    <row r="80" ht="15.75" customHeight="1" s="29"/>
    <row r="81" ht="15.75" customHeight="1" s="29"/>
    <row r="82" ht="15.75" customHeight="1" s="29"/>
    <row r="83" ht="15.75" customHeight="1" s="29"/>
    <row r="84" ht="15.75" customHeight="1" s="29"/>
    <row r="85" ht="15.75" customHeight="1" s="29"/>
    <row r="86" ht="15.75" customHeight="1" s="29"/>
    <row r="87" ht="15.75" customHeight="1" s="29"/>
    <row r="88" ht="15.75" customHeight="1" s="29"/>
    <row r="89" ht="15.75" customHeight="1" s="29"/>
    <row r="90" ht="15.75" customHeight="1" s="29"/>
    <row r="91" ht="15.75" customHeight="1" s="29"/>
    <row r="92" ht="15.75" customHeight="1" s="29"/>
    <row r="93" ht="15.75" customHeight="1" s="29"/>
    <row r="94" ht="15.75" customHeight="1" s="29"/>
    <row r="95" ht="15.75" customHeight="1" s="29"/>
    <row r="96" ht="15.75" customHeight="1" s="29"/>
    <row r="97" ht="15.75" customHeight="1" s="29"/>
    <row r="98" ht="15.75" customHeight="1" s="29"/>
    <row r="99" ht="15.75" customHeight="1" s="29"/>
    <row r="100" ht="15.75" customHeight="1" s="29"/>
    <row r="101" ht="15.75" customHeight="1" s="29"/>
    <row r="102" ht="15.75" customHeight="1" s="29"/>
    <row r="103" ht="15.75" customHeight="1" s="29"/>
    <row r="104" ht="15.75" customHeight="1" s="29"/>
    <row r="105" ht="15.75" customHeight="1" s="29"/>
    <row r="106" ht="15.75" customHeight="1" s="29"/>
    <row r="107" ht="15.75" customHeight="1" s="29"/>
    <row r="108" ht="15.75" customHeight="1" s="29"/>
    <row r="109" ht="15.75" customHeight="1" s="29"/>
    <row r="110" ht="15.75" customHeight="1" s="29"/>
    <row r="111" ht="15.75" customHeight="1" s="29"/>
    <row r="112" ht="15.75" customHeight="1" s="29"/>
    <row r="113" ht="15.75" customHeight="1" s="29"/>
    <row r="114" ht="15.75" customHeight="1" s="29"/>
    <row r="115" ht="15.75" customHeight="1" s="29"/>
    <row r="116" ht="15.75" customHeight="1" s="29"/>
    <row r="117" ht="15.75" customHeight="1" s="29"/>
    <row r="118" ht="15.75" customHeight="1" s="29"/>
    <row r="119" ht="15.75" customHeight="1" s="29"/>
    <row r="120" ht="15.75" customHeight="1" s="29"/>
    <row r="121" ht="15.75" customHeight="1" s="29"/>
    <row r="122" ht="15.75" customHeight="1" s="29"/>
    <row r="123" ht="15.75" customHeight="1" s="29"/>
    <row r="124" ht="15.75" customHeight="1" s="29"/>
    <row r="125" ht="15.75" customHeight="1" s="29"/>
    <row r="126" ht="15.75" customHeight="1" s="29"/>
    <row r="127" ht="15.75" customHeight="1" s="29"/>
    <row r="128" ht="15.75" customHeight="1" s="29"/>
    <row r="129" ht="15.75" customHeight="1" s="29"/>
    <row r="130" ht="15.75" customHeight="1" s="29"/>
    <row r="131" ht="15.75" customHeight="1" s="29"/>
    <row r="132" ht="15.75" customHeight="1" s="29"/>
    <row r="133" ht="15.75" customHeight="1" s="29"/>
    <row r="134" ht="15.75" customHeight="1" s="29"/>
    <row r="135" ht="15.75" customHeight="1" s="29"/>
    <row r="136" ht="15.75" customHeight="1" s="29"/>
    <row r="137" ht="15.75" customHeight="1" s="29"/>
    <row r="138" ht="15.75" customHeight="1" s="29"/>
    <row r="139" ht="15.75" customHeight="1" s="29"/>
    <row r="140" ht="15.75" customHeight="1" s="29"/>
    <row r="141" ht="15.75" customHeight="1" s="29"/>
    <row r="142" ht="15.75" customHeight="1" s="29"/>
    <row r="143" ht="15.75" customHeight="1" s="29"/>
    <row r="144" ht="15.75" customHeight="1" s="29"/>
    <row r="145" ht="15.75" customHeight="1" s="29"/>
    <row r="146" ht="15.75" customHeight="1" s="29"/>
    <row r="147" ht="15.75" customHeight="1" s="29"/>
    <row r="148" ht="15.75" customHeight="1" s="29"/>
    <row r="149" ht="15.75" customHeight="1" s="29"/>
    <row r="150" ht="15.75" customHeight="1" s="29"/>
    <row r="151" ht="15.75" customHeight="1" s="29"/>
    <row r="152" ht="15.75" customHeight="1" s="29"/>
    <row r="153" ht="15.75" customHeight="1" s="29"/>
    <row r="154" ht="15.75" customHeight="1" s="29"/>
    <row r="155" ht="15.75" customHeight="1" s="29"/>
    <row r="156" ht="15.75" customHeight="1" s="29"/>
    <row r="157" ht="15.75" customHeight="1" s="29"/>
    <row r="158" ht="15.75" customHeight="1" s="29"/>
    <row r="159" ht="15.75" customHeight="1" s="29"/>
    <row r="160" ht="15.75" customHeight="1" s="29"/>
    <row r="161" ht="15.75" customHeight="1" s="29"/>
    <row r="162" ht="15.75" customHeight="1" s="29"/>
    <row r="163" ht="15.75" customHeight="1" s="29"/>
    <row r="164" ht="15.75" customHeight="1" s="29"/>
    <row r="165" ht="15.75" customHeight="1" s="29"/>
    <row r="166" ht="15.75" customHeight="1" s="29"/>
    <row r="167" ht="15.75" customHeight="1" s="29"/>
    <row r="168" ht="15.75" customHeight="1" s="29"/>
    <row r="169" ht="15.75" customHeight="1" s="29"/>
    <row r="170" ht="15.75" customHeight="1" s="29"/>
    <row r="171" ht="15.75" customHeight="1" s="29"/>
    <row r="172" ht="15.75" customHeight="1" s="29"/>
    <row r="173" ht="15.75" customHeight="1" s="29"/>
    <row r="174" ht="15.75" customHeight="1" s="29"/>
    <row r="175" ht="15.75" customHeight="1" s="29"/>
    <row r="176" ht="15.75" customHeight="1" s="29"/>
    <row r="177" ht="15.75" customHeight="1" s="29"/>
    <row r="178" ht="15.75" customHeight="1" s="29"/>
    <row r="179" ht="15.75" customHeight="1" s="29"/>
    <row r="180" ht="15.75" customHeight="1" s="29"/>
    <row r="181" ht="15.75" customHeight="1" s="29"/>
    <row r="182" ht="15.75" customHeight="1" s="29"/>
    <row r="183" ht="15.75" customHeight="1" s="29"/>
    <row r="184" ht="15.75" customHeight="1" s="29"/>
    <row r="185" ht="15.75" customHeight="1" s="29"/>
    <row r="186" ht="15.75" customHeight="1" s="29"/>
    <row r="187" ht="15.75" customHeight="1" s="29"/>
    <row r="188" ht="15.75" customHeight="1" s="29"/>
    <row r="189" ht="15.75" customHeight="1" s="29"/>
    <row r="190" ht="15.75" customHeight="1" s="29"/>
    <row r="191" ht="15.75" customHeight="1" s="29"/>
    <row r="192" ht="15.75" customHeight="1" s="29"/>
    <row r="193" ht="15.75" customHeight="1" s="29"/>
    <row r="194" ht="15.75" customHeight="1" s="29"/>
    <row r="195" ht="15.75" customHeight="1" s="29"/>
    <row r="196" ht="15.75" customHeight="1" s="29"/>
    <row r="197" ht="15.75" customHeight="1" s="29"/>
    <row r="198" ht="15.75" customHeight="1" s="29"/>
    <row r="199" ht="15.75" customHeight="1" s="29"/>
    <row r="200" ht="15.75" customHeight="1" s="29"/>
    <row r="201" ht="15.75" customHeight="1" s="29"/>
    <row r="202" ht="15.75" customHeight="1" s="29"/>
    <row r="203" ht="15.75" customHeight="1" s="29"/>
    <row r="204" ht="15.75" customHeight="1" s="29"/>
    <row r="205" ht="15.75" customHeight="1" s="29"/>
    <row r="206" ht="15.75" customHeight="1" s="29"/>
    <row r="207" ht="15.75" customHeight="1" s="29"/>
    <row r="208" ht="15.75" customHeight="1" s="29"/>
    <row r="209" ht="15.75" customHeight="1" s="29"/>
    <row r="210" ht="15.75" customHeight="1" s="29"/>
    <row r="211" ht="15.75" customHeight="1" s="29"/>
    <row r="212" ht="15.75" customHeight="1" s="29"/>
    <row r="213" ht="15.75" customHeight="1" s="29"/>
    <row r="214" ht="15.75" customHeight="1" s="29"/>
    <row r="215" ht="15.75" customHeight="1" s="29"/>
    <row r="216" ht="15.75" customHeight="1" s="29"/>
    <row r="217" ht="15.75" customHeight="1" s="29"/>
    <row r="218" ht="15.75" customHeight="1" s="29"/>
    <row r="219" ht="15.75" customHeight="1" s="29"/>
    <row r="220" ht="15.75" customHeight="1" s="29"/>
    <row r="221" ht="15.75" customHeight="1" s="29"/>
    <row r="222" ht="15.75" customHeight="1" s="29"/>
    <row r="223" ht="15.75" customHeight="1" s="29"/>
    <row r="224" ht="15.75" customHeight="1" s="29"/>
    <row r="225" ht="15.75" customHeight="1" s="29"/>
    <row r="226" ht="15.75" customHeight="1" s="29"/>
    <row r="227" ht="15.75" customHeight="1" s="29"/>
    <row r="228" ht="15.75" customHeight="1" s="29"/>
    <row r="229" ht="15.75" customHeight="1" s="29"/>
    <row r="230" ht="15.75" customHeight="1" s="29"/>
    <row r="231" ht="15.75" customHeight="1" s="29"/>
    <row r="232" ht="15.75" customHeight="1" s="29"/>
    <row r="233" ht="15.75" customHeight="1" s="29"/>
    <row r="234" ht="15.75" customHeight="1" s="29"/>
    <row r="235" ht="15.75" customHeight="1" s="29"/>
    <row r="236" ht="15.75" customHeight="1" s="29"/>
    <row r="237" ht="15.75" customHeight="1" s="29"/>
    <row r="238" ht="15.75" customHeight="1" s="29"/>
    <row r="239" ht="15.75" customHeight="1" s="29"/>
    <row r="240" ht="15.75" customHeight="1" s="29"/>
    <row r="241" ht="15.75" customHeight="1" s="29"/>
    <row r="242" ht="15.75" customHeight="1" s="29"/>
    <row r="243" ht="15.75" customHeight="1" s="29"/>
    <row r="244" ht="15.75" customHeight="1" s="29"/>
    <row r="245" ht="15.75" customHeight="1" s="29"/>
    <row r="246" ht="15.75" customHeight="1" s="29"/>
    <row r="247" ht="15.75" customHeight="1" s="29"/>
    <row r="248" ht="15.75" customHeight="1" s="29"/>
    <row r="249" ht="15.75" customHeight="1" s="29"/>
    <row r="250" ht="15.75" customHeight="1" s="29"/>
    <row r="251" ht="15.75" customHeight="1" s="29"/>
    <row r="252" ht="15.75" customHeight="1" s="29"/>
    <row r="253" ht="15.75" customHeight="1" s="29"/>
    <row r="254" ht="15.75" customHeight="1" s="29"/>
    <row r="255" ht="15.75" customHeight="1" s="29"/>
    <row r="256" ht="15.75" customHeight="1" s="29"/>
    <row r="257" ht="15.75" customHeight="1" s="29"/>
    <row r="258" ht="15.75" customHeight="1" s="29"/>
    <row r="259" ht="15.75" customHeight="1" s="29"/>
    <row r="260" ht="15.75" customHeight="1" s="29"/>
    <row r="261" ht="15.75" customHeight="1" s="29"/>
    <row r="262" ht="15.75" customHeight="1" s="29"/>
    <row r="263" ht="15.75" customHeight="1" s="29"/>
    <row r="264" ht="15.75" customHeight="1" s="29"/>
    <row r="265" ht="15.75" customHeight="1" s="29"/>
    <row r="266" ht="15.75" customHeight="1" s="29"/>
    <row r="267" ht="15.75" customHeight="1" s="29"/>
    <row r="268" ht="15.75" customHeight="1" s="29"/>
    <row r="269" ht="15.75" customHeight="1" s="29"/>
    <row r="270" ht="15.75" customHeight="1" s="29"/>
    <row r="271" ht="15.75" customHeight="1" s="29"/>
    <row r="272" ht="15.75" customHeight="1" s="29"/>
    <row r="273" ht="15.75" customHeight="1" s="29"/>
    <row r="274" ht="15.75" customHeight="1" s="29"/>
    <row r="275" ht="15.75" customHeight="1" s="29"/>
    <row r="276" ht="15.75" customHeight="1" s="29"/>
    <row r="277" ht="15.75" customHeight="1" s="29"/>
    <row r="278" ht="15.75" customHeight="1" s="29"/>
    <row r="279" ht="15.75" customHeight="1" s="29"/>
    <row r="280" ht="15.75" customHeight="1" s="29"/>
    <row r="281" ht="15.75" customHeight="1" s="29"/>
    <row r="282" ht="15.75" customHeight="1" s="29"/>
    <row r="283" ht="15.75" customHeight="1" s="29"/>
    <row r="284" ht="15.75" customHeight="1" s="29"/>
    <row r="285" ht="15.75" customHeight="1" s="29"/>
    <row r="286" ht="15.75" customHeight="1" s="29"/>
    <row r="287" ht="15.75" customHeight="1" s="29"/>
    <row r="288" ht="15.75" customHeight="1" s="29"/>
    <row r="289" ht="15.75" customHeight="1" s="29"/>
    <row r="290" ht="15.75" customHeight="1" s="29"/>
    <row r="291" ht="15.75" customHeight="1" s="29"/>
    <row r="292" ht="15.75" customHeight="1" s="29"/>
    <row r="293" ht="15.75" customHeight="1" s="29"/>
    <row r="294" ht="15.75" customHeight="1" s="29"/>
    <row r="295" ht="15.75" customHeight="1" s="29"/>
    <row r="296" ht="15.75" customHeight="1" s="29"/>
    <row r="297" ht="15.75" customHeight="1" s="29"/>
    <row r="298" ht="15.75" customHeight="1" s="29"/>
    <row r="299" ht="15.75" customHeight="1" s="29"/>
    <row r="300" ht="15.75" customHeight="1" s="29"/>
    <row r="301" ht="15.75" customHeight="1" s="29"/>
    <row r="302" ht="15.75" customHeight="1" s="29"/>
    <row r="303" ht="15.75" customHeight="1" s="29"/>
    <row r="304" ht="15.75" customHeight="1" s="29"/>
    <row r="305" ht="15.75" customHeight="1" s="29"/>
    <row r="306" ht="15.75" customHeight="1" s="29"/>
    <row r="307" ht="15.75" customHeight="1" s="29"/>
    <row r="308" ht="15.75" customHeight="1" s="29"/>
    <row r="309" ht="15.75" customHeight="1" s="29"/>
    <row r="310" ht="15.75" customHeight="1" s="29"/>
    <row r="311" ht="15.75" customHeight="1" s="29"/>
    <row r="312" ht="15.75" customHeight="1" s="29"/>
    <row r="313" ht="15.75" customHeight="1" s="29"/>
    <row r="314" ht="15.75" customHeight="1" s="29"/>
    <row r="315" ht="15.75" customHeight="1" s="29"/>
    <row r="316" ht="15.75" customHeight="1" s="29"/>
    <row r="317" ht="15.75" customHeight="1" s="29"/>
    <row r="318" ht="15.75" customHeight="1" s="29"/>
    <row r="319" ht="15.75" customHeight="1" s="29"/>
    <row r="320" ht="15.75" customHeight="1" s="29"/>
    <row r="321" ht="15.75" customHeight="1" s="29"/>
    <row r="322" ht="15.75" customHeight="1" s="29"/>
    <row r="323" ht="15.75" customHeight="1" s="29"/>
    <row r="324" ht="15.75" customHeight="1" s="29"/>
    <row r="325" ht="15.75" customHeight="1" s="29"/>
    <row r="326" ht="15.75" customHeight="1" s="29"/>
    <row r="327" ht="15.75" customHeight="1" s="29"/>
    <row r="328" ht="15.75" customHeight="1" s="29"/>
    <row r="329" ht="15.75" customHeight="1" s="29"/>
    <row r="330" ht="15.75" customHeight="1" s="29"/>
    <row r="331" ht="15.75" customHeight="1" s="29"/>
    <row r="332" ht="15.75" customHeight="1" s="29"/>
    <row r="333" ht="15.75" customHeight="1" s="29"/>
    <row r="334" ht="15.75" customHeight="1" s="29"/>
    <row r="335" ht="15.75" customHeight="1" s="29"/>
    <row r="336" ht="15.75" customHeight="1" s="29"/>
    <row r="337" ht="15.75" customHeight="1" s="29"/>
    <row r="338" ht="15.75" customHeight="1" s="29"/>
    <row r="339" ht="15.75" customHeight="1" s="29"/>
    <row r="340" ht="15.75" customHeight="1" s="29"/>
    <row r="341" ht="15.75" customHeight="1" s="29"/>
    <row r="342" ht="15.75" customHeight="1" s="29"/>
    <row r="343" ht="15.75" customHeight="1" s="29"/>
    <row r="344" ht="15.75" customHeight="1" s="29"/>
    <row r="345" ht="15.75" customHeight="1" s="29"/>
    <row r="346" ht="15.75" customHeight="1" s="29"/>
    <row r="347" ht="15.75" customHeight="1" s="29"/>
    <row r="348" ht="15.75" customHeight="1" s="29"/>
    <row r="349" ht="15.75" customHeight="1" s="29"/>
    <row r="350" ht="15.75" customHeight="1" s="29"/>
    <row r="351" ht="15.75" customHeight="1" s="29"/>
    <row r="352" ht="15.75" customHeight="1" s="29"/>
    <row r="353" ht="15.75" customHeight="1" s="29"/>
    <row r="354" ht="15.75" customHeight="1" s="29"/>
    <row r="355" ht="15.75" customHeight="1" s="29"/>
    <row r="356" ht="15.75" customHeight="1" s="29"/>
    <row r="357" ht="15.75" customHeight="1" s="29"/>
    <row r="358" ht="15.75" customHeight="1" s="29"/>
    <row r="359" ht="15.75" customHeight="1" s="29"/>
    <row r="360" ht="15.75" customHeight="1" s="29"/>
    <row r="361" ht="15.75" customHeight="1" s="29"/>
    <row r="362" ht="15.75" customHeight="1" s="29"/>
    <row r="363" ht="15.75" customHeight="1" s="29"/>
    <row r="364" ht="15.75" customHeight="1" s="29"/>
    <row r="365" ht="15.75" customHeight="1" s="29"/>
    <row r="366" ht="15.75" customHeight="1" s="29"/>
    <row r="367" ht="15.75" customHeight="1" s="29"/>
    <row r="368" ht="15.75" customHeight="1" s="29"/>
    <row r="369" ht="15.75" customHeight="1" s="29"/>
    <row r="370" ht="15.75" customHeight="1" s="29"/>
    <row r="371" ht="15.75" customHeight="1" s="29"/>
    <row r="372" ht="15.75" customHeight="1" s="29"/>
    <row r="373" ht="15.75" customHeight="1" s="29"/>
    <row r="374" ht="15.75" customHeight="1" s="29"/>
    <row r="375" ht="15.75" customHeight="1" s="29"/>
    <row r="376" ht="15.75" customHeight="1" s="29"/>
    <row r="377" ht="15.75" customHeight="1" s="29"/>
    <row r="378" ht="15.75" customHeight="1" s="29"/>
    <row r="379" ht="15.75" customHeight="1" s="29"/>
    <row r="380" ht="15.75" customHeight="1" s="29"/>
    <row r="381" ht="15.75" customHeight="1" s="29"/>
    <row r="382" ht="15.75" customHeight="1" s="29"/>
    <row r="383" ht="15.75" customHeight="1" s="29"/>
    <row r="384" ht="15.75" customHeight="1" s="29"/>
    <row r="385" ht="15.75" customHeight="1" s="29"/>
    <row r="386" ht="15.75" customHeight="1" s="29"/>
    <row r="387" ht="15.75" customHeight="1" s="29"/>
    <row r="388" ht="15.75" customHeight="1" s="29"/>
    <row r="389" ht="15.75" customHeight="1" s="29"/>
    <row r="390" ht="15.75" customHeight="1" s="29"/>
    <row r="391" ht="15.75" customHeight="1" s="29"/>
    <row r="392" ht="15.75" customHeight="1" s="29"/>
    <row r="393" ht="15.75" customHeight="1" s="29"/>
    <row r="394" ht="15.75" customHeight="1" s="29"/>
    <row r="395" ht="15.75" customHeight="1" s="29"/>
    <row r="396" ht="15.75" customHeight="1" s="29"/>
    <row r="397" ht="15.75" customHeight="1" s="29"/>
    <row r="398" ht="15.75" customHeight="1" s="29"/>
    <row r="399" ht="15.75" customHeight="1" s="29"/>
    <row r="400" ht="15.75" customHeight="1" s="29"/>
    <row r="401" ht="15.75" customHeight="1" s="29"/>
    <row r="402" ht="15.75" customHeight="1" s="29"/>
    <row r="403" ht="15.75" customHeight="1" s="29"/>
    <row r="404" ht="15.75" customHeight="1" s="29"/>
    <row r="405" ht="15.75" customHeight="1" s="29"/>
    <row r="406" ht="15.75" customHeight="1" s="29"/>
    <row r="407" ht="15.75" customHeight="1" s="29"/>
    <row r="408" ht="15.75" customHeight="1" s="29"/>
    <row r="409" ht="15.75" customHeight="1" s="29"/>
    <row r="410" ht="15.75" customHeight="1" s="29"/>
    <row r="411" ht="15.75" customHeight="1" s="29"/>
    <row r="412" ht="15.75" customHeight="1" s="29"/>
    <row r="413" ht="15.75" customHeight="1" s="29"/>
    <row r="414" ht="15.75" customHeight="1" s="29"/>
    <row r="415" ht="15.75" customHeight="1" s="29"/>
    <row r="416" ht="15.75" customHeight="1" s="29"/>
    <row r="417" ht="15.75" customHeight="1" s="29"/>
    <row r="418" ht="15.75" customHeight="1" s="29"/>
    <row r="419" ht="15.75" customHeight="1" s="29"/>
    <row r="420" ht="15.75" customHeight="1" s="29"/>
    <row r="421" ht="15.75" customHeight="1" s="29"/>
    <row r="422" ht="15.75" customHeight="1" s="29"/>
    <row r="423" ht="15.75" customHeight="1" s="29"/>
    <row r="424" ht="15.75" customHeight="1" s="29"/>
    <row r="425" ht="15.75" customHeight="1" s="29"/>
    <row r="426" ht="15.75" customHeight="1" s="29"/>
    <row r="427" ht="15.75" customHeight="1" s="29"/>
    <row r="428" ht="15.75" customHeight="1" s="29"/>
    <row r="429" ht="15.75" customHeight="1" s="29"/>
    <row r="430" ht="15.75" customHeight="1" s="29"/>
    <row r="431" ht="15.75" customHeight="1" s="29"/>
    <row r="432" ht="15.75" customHeight="1" s="29"/>
    <row r="433" ht="15.75" customHeight="1" s="29"/>
    <row r="434" ht="15.75" customHeight="1" s="29"/>
    <row r="435" ht="15.75" customHeight="1" s="29"/>
    <row r="436" ht="15.75" customHeight="1" s="29"/>
    <row r="437" ht="15.75" customHeight="1" s="29"/>
    <row r="438" ht="15.75" customHeight="1" s="29"/>
    <row r="439" ht="15.75" customHeight="1" s="29"/>
    <row r="440" ht="15.75" customHeight="1" s="29"/>
    <row r="441" ht="15.75" customHeight="1" s="29"/>
    <row r="442" ht="15.75" customHeight="1" s="29"/>
    <row r="443" ht="15.75" customHeight="1" s="29"/>
    <row r="444" ht="15.75" customHeight="1" s="29"/>
    <row r="445" ht="15.75" customHeight="1" s="29"/>
    <row r="446" ht="15.75" customHeight="1" s="29"/>
    <row r="447" ht="15.75" customHeight="1" s="29"/>
    <row r="448" ht="15.75" customHeight="1" s="29"/>
    <row r="449" ht="15.75" customHeight="1" s="29"/>
    <row r="450" ht="15.75" customHeight="1" s="29"/>
    <row r="451" ht="15.75" customHeight="1" s="29"/>
    <row r="452" ht="15.75" customHeight="1" s="29"/>
    <row r="453" ht="15.75" customHeight="1" s="29"/>
    <row r="454" ht="15.75" customHeight="1" s="29"/>
    <row r="455" ht="15.75" customHeight="1" s="29"/>
    <row r="456" ht="15.75" customHeight="1" s="29"/>
    <row r="457" ht="15.75" customHeight="1" s="29"/>
    <row r="458" ht="15.75" customHeight="1" s="29"/>
    <row r="459" ht="15.75" customHeight="1" s="29"/>
    <row r="460" ht="15.75" customHeight="1" s="29"/>
    <row r="461" ht="15.75" customHeight="1" s="29"/>
    <row r="462" ht="15.75" customHeight="1" s="29"/>
    <row r="463" ht="15.75" customHeight="1" s="29"/>
    <row r="464" ht="15.75" customHeight="1" s="29"/>
    <row r="465" ht="15.75" customHeight="1" s="29"/>
    <row r="466" ht="15.75" customHeight="1" s="29"/>
    <row r="467" ht="15.75" customHeight="1" s="29"/>
    <row r="468" ht="15.75" customHeight="1" s="29"/>
    <row r="469" ht="15.75" customHeight="1" s="29"/>
    <row r="470" ht="15.75" customHeight="1" s="29"/>
    <row r="471" ht="15.75" customHeight="1" s="29"/>
    <row r="472" ht="15.75" customHeight="1" s="29"/>
    <row r="473" ht="15.75" customHeight="1" s="29"/>
    <row r="474" ht="15.75" customHeight="1" s="29"/>
    <row r="475" ht="15.75" customHeight="1" s="29"/>
    <row r="476" ht="15.75" customHeight="1" s="29"/>
    <row r="477" ht="15.75" customHeight="1" s="29"/>
    <row r="478" ht="15.75" customHeight="1" s="29"/>
    <row r="479" ht="15.75" customHeight="1" s="29"/>
    <row r="480" ht="15.75" customHeight="1" s="29"/>
    <row r="481" ht="15.75" customHeight="1" s="29"/>
    <row r="482" ht="15.75" customHeight="1" s="29"/>
    <row r="483" ht="15.75" customHeight="1" s="29"/>
    <row r="484" ht="15.75" customHeight="1" s="29"/>
    <row r="485" ht="15.75" customHeight="1" s="29"/>
    <row r="486" ht="15.75" customHeight="1" s="29"/>
    <row r="487" ht="15.75" customHeight="1" s="29"/>
    <row r="488" ht="15.75" customHeight="1" s="29"/>
    <row r="489" ht="15.75" customHeight="1" s="29"/>
    <row r="490" ht="15.75" customHeight="1" s="29"/>
    <row r="491" ht="15.75" customHeight="1" s="29"/>
    <row r="492" ht="15.75" customHeight="1" s="29"/>
    <row r="493" ht="15.75" customHeight="1" s="29"/>
    <row r="494" ht="15.75" customHeight="1" s="29"/>
    <row r="495" ht="15.75" customHeight="1" s="29"/>
    <row r="496" ht="15.75" customHeight="1" s="29"/>
    <row r="497" ht="15.75" customHeight="1" s="29"/>
    <row r="498" ht="15.75" customHeight="1" s="29"/>
    <row r="499" ht="15.75" customHeight="1" s="29"/>
    <row r="500" ht="15.75" customHeight="1" s="29"/>
    <row r="501" ht="15.75" customHeight="1" s="29"/>
    <row r="502" ht="15.75" customHeight="1" s="29"/>
    <row r="503" ht="15.75" customHeight="1" s="29"/>
    <row r="504" ht="15.75" customHeight="1" s="29"/>
    <row r="505" ht="15.75" customHeight="1" s="29"/>
    <row r="506" ht="15.75" customHeight="1" s="29"/>
    <row r="507" ht="15.75" customHeight="1" s="29"/>
    <row r="508" ht="15.75" customHeight="1" s="29"/>
    <row r="509" ht="15.75" customHeight="1" s="29"/>
    <row r="510" ht="15.75" customHeight="1" s="29"/>
    <row r="511" ht="15.75" customHeight="1" s="29"/>
    <row r="512" ht="15.75" customHeight="1" s="29"/>
    <row r="513" ht="15.75" customHeight="1" s="29"/>
    <row r="514" ht="15.75" customHeight="1" s="29"/>
    <row r="515" ht="15.75" customHeight="1" s="29"/>
    <row r="516" ht="15.75" customHeight="1" s="29"/>
    <row r="517" ht="15.75" customHeight="1" s="29"/>
    <row r="518" ht="15.75" customHeight="1" s="29"/>
    <row r="519" ht="15.75" customHeight="1" s="29"/>
    <row r="520" ht="15.75" customHeight="1" s="29"/>
    <row r="521" ht="15.75" customHeight="1" s="29"/>
    <row r="522" ht="15.75" customHeight="1" s="29"/>
    <row r="523" ht="15.75" customHeight="1" s="29"/>
    <row r="524" ht="15.75" customHeight="1" s="29"/>
    <row r="525" ht="15.75" customHeight="1" s="29"/>
    <row r="526" ht="15.75" customHeight="1" s="29"/>
    <row r="527" ht="15.75" customHeight="1" s="29"/>
    <row r="528" ht="15.75" customHeight="1" s="29"/>
    <row r="529" ht="15.75" customHeight="1" s="29"/>
    <row r="530" ht="15.75" customHeight="1" s="29"/>
    <row r="531" ht="15.75" customHeight="1" s="29"/>
    <row r="532" ht="15.75" customHeight="1" s="29"/>
    <row r="533" ht="15.75" customHeight="1" s="29"/>
    <row r="534" ht="15.75" customHeight="1" s="29"/>
    <row r="535" ht="15.75" customHeight="1" s="29"/>
    <row r="536" ht="15.75" customHeight="1" s="29"/>
    <row r="537" ht="15.75" customHeight="1" s="29"/>
    <row r="538" ht="15.75" customHeight="1" s="29"/>
    <row r="539" ht="15.75" customHeight="1" s="29"/>
    <row r="540" ht="15.75" customHeight="1" s="29"/>
    <row r="541" ht="15.75" customHeight="1" s="29"/>
    <row r="542" ht="15.75" customHeight="1" s="29"/>
    <row r="543" ht="15.75" customHeight="1" s="29"/>
    <row r="544" ht="15.75" customHeight="1" s="29"/>
    <row r="545" ht="15.75" customHeight="1" s="29"/>
    <row r="546" ht="15.75" customHeight="1" s="29"/>
    <row r="547" ht="15.75" customHeight="1" s="29"/>
    <row r="548" ht="15.75" customHeight="1" s="29"/>
    <row r="549" ht="15.75" customHeight="1" s="29"/>
    <row r="550" ht="15.75" customHeight="1" s="29"/>
    <row r="551" ht="15.75" customHeight="1" s="29"/>
    <row r="552" ht="15.75" customHeight="1" s="29"/>
    <row r="553" ht="15.75" customHeight="1" s="29"/>
    <row r="554" ht="15.75" customHeight="1" s="29"/>
    <row r="555" ht="15.75" customHeight="1" s="29"/>
    <row r="556" ht="15.75" customHeight="1" s="29"/>
    <row r="557" ht="15.75" customHeight="1" s="29"/>
    <row r="558" ht="15.75" customHeight="1" s="29"/>
    <row r="559" ht="15.75" customHeight="1" s="29"/>
    <row r="560" ht="15.75" customHeight="1" s="29"/>
    <row r="561" ht="15.75" customHeight="1" s="29"/>
    <row r="562" ht="15.75" customHeight="1" s="29"/>
    <row r="563" ht="15.75" customHeight="1" s="29"/>
    <row r="564" ht="15.75" customHeight="1" s="29"/>
    <row r="565" ht="15.75" customHeight="1" s="29"/>
    <row r="566" ht="15.75" customHeight="1" s="29"/>
    <row r="567" ht="15.75" customHeight="1" s="29"/>
    <row r="568" ht="15.75" customHeight="1" s="29"/>
    <row r="569" ht="15.75" customHeight="1" s="29"/>
    <row r="570" ht="15.75" customHeight="1" s="29"/>
    <row r="571" ht="15.75" customHeight="1" s="29"/>
    <row r="572" ht="15.75" customHeight="1" s="29"/>
    <row r="573" ht="15.75" customHeight="1" s="29"/>
    <row r="574" ht="15.75" customHeight="1" s="29"/>
    <row r="575" ht="15.75" customHeight="1" s="29"/>
    <row r="576" ht="15.75" customHeight="1" s="29"/>
    <row r="577" ht="15.75" customHeight="1" s="29"/>
    <row r="578" ht="15.75" customHeight="1" s="29"/>
    <row r="579" ht="15.75" customHeight="1" s="29"/>
    <row r="580" ht="15.75" customHeight="1" s="29"/>
    <row r="581" ht="15.75" customHeight="1" s="29"/>
    <row r="582" ht="15.75" customHeight="1" s="29"/>
    <row r="583" ht="15.75" customHeight="1" s="29"/>
    <row r="584" ht="15.75" customHeight="1" s="29"/>
    <row r="585" ht="15.75" customHeight="1" s="29"/>
    <row r="586" ht="15.75" customHeight="1" s="29"/>
    <row r="587" ht="15.75" customHeight="1" s="29"/>
    <row r="588" ht="15.75" customHeight="1" s="29"/>
    <row r="589" ht="15.75" customHeight="1" s="29"/>
    <row r="590" ht="15.75" customHeight="1" s="29"/>
    <row r="591" ht="15.75" customHeight="1" s="29"/>
    <row r="592" ht="15.75" customHeight="1" s="29"/>
    <row r="593" ht="15.75" customHeight="1" s="29"/>
    <row r="594" ht="15.75" customHeight="1" s="29"/>
    <row r="595" ht="15.75" customHeight="1" s="29"/>
    <row r="596" ht="15.75" customHeight="1" s="29"/>
    <row r="597" ht="15.75" customHeight="1" s="29"/>
    <row r="598" ht="15.75" customHeight="1" s="29"/>
    <row r="599" ht="15.75" customHeight="1" s="29"/>
    <row r="600" ht="15.75" customHeight="1" s="29"/>
    <row r="601" ht="15.75" customHeight="1" s="29"/>
    <row r="602" ht="15.75" customHeight="1" s="29"/>
    <row r="603" ht="15.75" customHeight="1" s="29"/>
    <row r="604" ht="15.75" customHeight="1" s="29"/>
    <row r="605" ht="15.75" customHeight="1" s="29"/>
    <row r="606" ht="15.75" customHeight="1" s="29"/>
    <row r="607" ht="15.75" customHeight="1" s="29"/>
    <row r="608" ht="15.75" customHeight="1" s="29"/>
    <row r="609" ht="15.75" customHeight="1" s="29"/>
    <row r="610" ht="15.75" customHeight="1" s="29"/>
    <row r="611" ht="15.75" customHeight="1" s="29"/>
    <row r="612" ht="15.75" customHeight="1" s="29"/>
    <row r="613" ht="15.75" customHeight="1" s="29"/>
    <row r="614" ht="15.75" customHeight="1" s="29"/>
    <row r="615" ht="15.75" customHeight="1" s="29"/>
    <row r="616" ht="15.75" customHeight="1" s="29"/>
    <row r="617" ht="15.75" customHeight="1" s="29"/>
    <row r="618" ht="15.75" customHeight="1" s="29"/>
    <row r="619" ht="15.75" customHeight="1" s="29"/>
    <row r="620" ht="15.75" customHeight="1" s="29"/>
    <row r="621" ht="15.75" customHeight="1" s="29"/>
    <row r="622" ht="15.75" customHeight="1" s="29"/>
    <row r="623" ht="15.75" customHeight="1" s="29"/>
    <row r="624" ht="15.75" customHeight="1" s="29"/>
    <row r="625" ht="15.75" customHeight="1" s="29"/>
    <row r="626" ht="15.75" customHeight="1" s="29"/>
    <row r="627" ht="15.75" customHeight="1" s="29"/>
    <row r="628" ht="15.75" customHeight="1" s="29"/>
    <row r="629" ht="15.75" customHeight="1" s="29"/>
    <row r="630" ht="15.75" customHeight="1" s="29"/>
    <row r="631" ht="15.75" customHeight="1" s="29"/>
    <row r="632" ht="15.75" customHeight="1" s="29"/>
    <row r="633" ht="15.75" customHeight="1" s="29"/>
    <row r="634" ht="15.75" customHeight="1" s="29"/>
    <row r="635" ht="15.75" customHeight="1" s="29"/>
    <row r="636" ht="15.75" customHeight="1" s="29"/>
    <row r="637" ht="15.75" customHeight="1" s="29"/>
    <row r="638" ht="15.75" customHeight="1" s="29"/>
    <row r="639" ht="15.75" customHeight="1" s="29"/>
    <row r="640" ht="15.75" customHeight="1" s="29"/>
    <row r="641" ht="15.75" customHeight="1" s="29"/>
    <row r="642" ht="15.75" customHeight="1" s="29"/>
    <row r="643" ht="15.75" customHeight="1" s="29"/>
    <row r="644" ht="15.75" customHeight="1" s="29"/>
    <row r="645" ht="15.75" customHeight="1" s="29"/>
    <row r="646" ht="15.75" customHeight="1" s="29"/>
    <row r="647" ht="15.75" customHeight="1" s="29"/>
    <row r="648" ht="15.75" customHeight="1" s="29"/>
    <row r="649" ht="15.75" customHeight="1" s="29"/>
    <row r="650" ht="15.75" customHeight="1" s="29"/>
    <row r="651" ht="15.75" customHeight="1" s="29"/>
    <row r="652" ht="15.75" customHeight="1" s="29"/>
    <row r="653" ht="15.75" customHeight="1" s="29"/>
    <row r="654" ht="15.75" customHeight="1" s="29"/>
    <row r="655" ht="15.75" customHeight="1" s="29"/>
    <row r="656" ht="15.75" customHeight="1" s="29"/>
    <row r="657" ht="15.75" customHeight="1" s="29"/>
    <row r="658" ht="15.75" customHeight="1" s="29"/>
    <row r="659" ht="15.75" customHeight="1" s="29"/>
    <row r="660" ht="15.75" customHeight="1" s="29"/>
    <row r="661" ht="15.75" customHeight="1" s="29"/>
    <row r="662" ht="15.75" customHeight="1" s="29"/>
    <row r="663" ht="15.75" customHeight="1" s="29"/>
    <row r="664" ht="15.75" customHeight="1" s="29"/>
    <row r="665" ht="15.75" customHeight="1" s="29"/>
    <row r="666" ht="15.75" customHeight="1" s="29"/>
    <row r="667" ht="15.75" customHeight="1" s="29"/>
    <row r="668" ht="15.75" customHeight="1" s="29"/>
    <row r="669" ht="15.75" customHeight="1" s="29"/>
    <row r="670" ht="15.75" customHeight="1" s="29"/>
    <row r="671" ht="15.75" customHeight="1" s="29"/>
    <row r="672" ht="15.75" customHeight="1" s="29"/>
    <row r="673" ht="15.75" customHeight="1" s="29"/>
    <row r="674" ht="15.75" customHeight="1" s="29"/>
    <row r="675" ht="15.75" customHeight="1" s="29"/>
    <row r="676" ht="15.75" customHeight="1" s="29"/>
    <row r="677" ht="15.75" customHeight="1" s="29"/>
    <row r="678" ht="15.75" customHeight="1" s="29"/>
    <row r="679" ht="15.75" customHeight="1" s="29"/>
    <row r="680" ht="15.75" customHeight="1" s="29"/>
    <row r="681" ht="15.75" customHeight="1" s="29"/>
    <row r="682" ht="15.75" customHeight="1" s="29"/>
    <row r="683" ht="15.75" customHeight="1" s="29"/>
    <row r="684" ht="15.75" customHeight="1" s="29"/>
    <row r="685" ht="15.75" customHeight="1" s="29"/>
    <row r="686" ht="15.75" customHeight="1" s="29"/>
    <row r="687" ht="15.75" customHeight="1" s="29"/>
    <row r="688" ht="15.75" customHeight="1" s="29"/>
    <row r="689" ht="15.75" customHeight="1" s="29"/>
    <row r="690" ht="15.75" customHeight="1" s="29"/>
    <row r="691" ht="15.75" customHeight="1" s="29"/>
    <row r="692" ht="15.75" customHeight="1" s="29"/>
    <row r="693" ht="15.75" customHeight="1" s="29"/>
    <row r="694" ht="15.75" customHeight="1" s="29"/>
    <row r="695" ht="15.75" customHeight="1" s="29"/>
    <row r="696" ht="15.75" customHeight="1" s="29"/>
    <row r="697" ht="15.75" customHeight="1" s="29"/>
    <row r="698" ht="15.75" customHeight="1" s="29"/>
    <row r="699" ht="15.75" customHeight="1" s="29"/>
    <row r="700" ht="15.75" customHeight="1" s="29"/>
    <row r="701" ht="15.75" customHeight="1" s="29"/>
    <row r="702" ht="15.75" customHeight="1" s="29"/>
    <row r="703" ht="15.75" customHeight="1" s="29"/>
    <row r="704" ht="15.75" customHeight="1" s="29"/>
    <row r="705" ht="15.75" customHeight="1" s="29"/>
    <row r="706" ht="15.75" customHeight="1" s="29"/>
    <row r="707" ht="15.75" customHeight="1" s="29"/>
    <row r="708" ht="15.75" customHeight="1" s="29"/>
    <row r="709" ht="15.75" customHeight="1" s="29"/>
    <row r="710" ht="15.75" customHeight="1" s="29"/>
    <row r="711" ht="15.75" customHeight="1" s="29"/>
    <row r="712" ht="15.75" customHeight="1" s="29"/>
    <row r="713" ht="15.75" customHeight="1" s="29"/>
    <row r="714" ht="15.75" customHeight="1" s="29"/>
    <row r="715" ht="15.75" customHeight="1" s="29"/>
    <row r="716" ht="15.75" customHeight="1" s="29"/>
    <row r="717" ht="15.75" customHeight="1" s="29"/>
    <row r="718" ht="15.75" customHeight="1" s="29"/>
    <row r="719" ht="15.75" customHeight="1" s="29"/>
    <row r="720" ht="15.75" customHeight="1" s="29"/>
    <row r="721" ht="15.75" customHeight="1" s="29"/>
    <row r="722" ht="15.75" customHeight="1" s="29"/>
    <row r="723" ht="15.75" customHeight="1" s="29"/>
    <row r="724" ht="15.75" customHeight="1" s="29"/>
    <row r="725" ht="15.75" customHeight="1" s="29"/>
    <row r="726" ht="15.75" customHeight="1" s="29"/>
    <row r="727" ht="15.75" customHeight="1" s="29"/>
    <row r="728" ht="15.75" customHeight="1" s="29"/>
    <row r="729" ht="15.75" customHeight="1" s="29"/>
    <row r="730" ht="15.75" customHeight="1" s="29"/>
    <row r="731" ht="15.75" customHeight="1" s="29"/>
    <row r="732" ht="15.75" customHeight="1" s="29"/>
    <row r="733" ht="15.75" customHeight="1" s="29"/>
    <row r="734" ht="15.75" customHeight="1" s="29"/>
    <row r="735" ht="15.75" customHeight="1" s="29"/>
    <row r="736" ht="15.75" customHeight="1" s="29"/>
    <row r="737" ht="15.75" customHeight="1" s="29"/>
    <row r="738" ht="15.75" customHeight="1" s="29"/>
    <row r="739" ht="15.75" customHeight="1" s="29"/>
    <row r="740" ht="15.75" customHeight="1" s="29"/>
    <row r="741" ht="15.75" customHeight="1" s="29"/>
    <row r="742" ht="15.75" customHeight="1" s="29"/>
    <row r="743" ht="15.75" customHeight="1" s="29"/>
    <row r="744" ht="15.75" customHeight="1" s="29"/>
    <row r="745" ht="15.75" customHeight="1" s="29"/>
    <row r="746" ht="15.75" customHeight="1" s="29"/>
    <row r="747" ht="15.75" customHeight="1" s="29"/>
    <row r="748" ht="15.75" customHeight="1" s="29"/>
    <row r="749" ht="15.75" customHeight="1" s="29"/>
    <row r="750" ht="15.75" customHeight="1" s="29"/>
    <row r="751" ht="15.75" customHeight="1" s="29"/>
    <row r="752" ht="15.75" customHeight="1" s="29"/>
    <row r="753" ht="15.75" customHeight="1" s="29"/>
    <row r="754" ht="15.75" customHeight="1" s="29"/>
    <row r="755" ht="15.75" customHeight="1" s="29"/>
    <row r="756" ht="15.75" customHeight="1" s="29"/>
    <row r="757" ht="15.75" customHeight="1" s="29"/>
    <row r="758" ht="15.75" customHeight="1" s="29"/>
    <row r="759" ht="15.75" customHeight="1" s="29"/>
    <row r="760" ht="15.75" customHeight="1" s="29"/>
    <row r="761" ht="15.75" customHeight="1" s="29"/>
    <row r="762" ht="15.75" customHeight="1" s="29"/>
    <row r="763" ht="15.75" customHeight="1" s="29"/>
    <row r="764" ht="15.75" customHeight="1" s="29"/>
    <row r="765" ht="15.75" customHeight="1" s="29"/>
    <row r="766" ht="15.75" customHeight="1" s="29"/>
    <row r="767" ht="15.75" customHeight="1" s="29"/>
    <row r="768" ht="15.75" customHeight="1" s="29"/>
    <row r="769" ht="15.75" customHeight="1" s="29"/>
    <row r="770" ht="15.75" customHeight="1" s="29"/>
    <row r="771" ht="15.75" customHeight="1" s="29"/>
    <row r="772" ht="15.75" customHeight="1" s="29"/>
    <row r="773" ht="15.75" customHeight="1" s="29"/>
    <row r="774" ht="15.75" customHeight="1" s="29"/>
    <row r="775" ht="15.75" customHeight="1" s="29"/>
    <row r="776" ht="15.75" customHeight="1" s="29"/>
    <row r="777" ht="15.75" customHeight="1" s="29"/>
    <row r="778" ht="15.75" customHeight="1" s="29"/>
    <row r="779" ht="15.75" customHeight="1" s="29"/>
    <row r="780" ht="15.75" customHeight="1" s="29"/>
    <row r="781" ht="15.75" customHeight="1" s="29"/>
    <row r="782" ht="15.75" customHeight="1" s="29"/>
    <row r="783" ht="15.75" customHeight="1" s="29"/>
    <row r="784" ht="15.75" customHeight="1" s="29"/>
    <row r="785" ht="15.75" customHeight="1" s="29"/>
    <row r="786" ht="15.75" customHeight="1" s="29"/>
    <row r="787" ht="15.75" customHeight="1" s="29"/>
    <row r="788" ht="15.75" customHeight="1" s="29"/>
    <row r="789" ht="15.75" customHeight="1" s="29"/>
    <row r="790" ht="15.75" customHeight="1" s="29"/>
    <row r="791" ht="15.75" customHeight="1" s="29"/>
    <row r="792" ht="15.75" customHeight="1" s="29"/>
    <row r="793" ht="15.75" customHeight="1" s="29"/>
    <row r="794" ht="15.75" customHeight="1" s="29"/>
    <row r="795" ht="15.75" customHeight="1" s="29"/>
    <row r="796" ht="15.75" customHeight="1" s="29"/>
    <row r="797" ht="15.75" customHeight="1" s="29"/>
    <row r="798" ht="15.75" customHeight="1" s="29"/>
    <row r="799" ht="15.75" customHeight="1" s="29"/>
    <row r="800" ht="15.75" customHeight="1" s="29"/>
    <row r="801" ht="15.75" customHeight="1" s="29"/>
    <row r="802" ht="15.75" customHeight="1" s="29"/>
    <row r="803" ht="15.75" customHeight="1" s="29"/>
    <row r="804" ht="15.75" customHeight="1" s="29"/>
    <row r="805" ht="15.75" customHeight="1" s="29"/>
    <row r="806" ht="15.75" customHeight="1" s="29"/>
    <row r="807" ht="15.75" customHeight="1" s="29"/>
    <row r="808" ht="15.75" customHeight="1" s="29"/>
    <row r="809" ht="15.75" customHeight="1" s="29"/>
    <row r="810" ht="15.75" customHeight="1" s="29"/>
    <row r="811" ht="15.75" customHeight="1" s="29"/>
    <row r="812" ht="15.75" customHeight="1" s="29"/>
    <row r="813" ht="15.75" customHeight="1" s="29"/>
    <row r="814" ht="15.75" customHeight="1" s="29"/>
    <row r="815" ht="15.75" customHeight="1" s="29"/>
    <row r="816" ht="15.75" customHeight="1" s="29"/>
    <row r="817" ht="15.75" customHeight="1" s="29"/>
    <row r="818" ht="15.75" customHeight="1" s="29"/>
    <row r="819" ht="15.75" customHeight="1" s="29"/>
    <row r="820" ht="15.75" customHeight="1" s="29"/>
    <row r="821" ht="15.75" customHeight="1" s="29"/>
    <row r="822" ht="15.75" customHeight="1" s="29"/>
    <row r="823" ht="15.75" customHeight="1" s="29"/>
    <row r="824" ht="15.75" customHeight="1" s="29"/>
    <row r="825" ht="15.75" customHeight="1" s="29"/>
    <row r="826" ht="15.75" customHeight="1" s="29"/>
    <row r="827" ht="15.75" customHeight="1" s="29"/>
    <row r="828" ht="15.75" customHeight="1" s="29"/>
    <row r="829" ht="15.75" customHeight="1" s="29"/>
    <row r="830" ht="15.75" customHeight="1" s="29"/>
    <row r="831" ht="15.75" customHeight="1" s="29"/>
    <row r="832" ht="15.75" customHeight="1" s="29"/>
    <row r="833" ht="15.75" customHeight="1" s="29"/>
    <row r="834" ht="15.75" customHeight="1" s="29"/>
    <row r="835" ht="15.75" customHeight="1" s="29"/>
    <row r="836" ht="15.75" customHeight="1" s="29"/>
    <row r="837" ht="15.75" customHeight="1" s="29"/>
    <row r="838" ht="15.75" customHeight="1" s="29"/>
    <row r="839" ht="15.75" customHeight="1" s="29"/>
    <row r="840" ht="15.75" customHeight="1" s="29"/>
    <row r="841" ht="15.75" customHeight="1" s="29"/>
    <row r="842" ht="15.75" customHeight="1" s="29"/>
    <row r="843" ht="15.75" customHeight="1" s="29"/>
    <row r="844" ht="15.75" customHeight="1" s="29"/>
    <row r="845" ht="15.75" customHeight="1" s="29"/>
    <row r="846" ht="15.75" customHeight="1" s="29"/>
    <row r="847" ht="15.75" customHeight="1" s="29"/>
    <row r="848" ht="15.75" customHeight="1" s="29"/>
    <row r="849" ht="15.75" customHeight="1" s="29"/>
    <row r="850" ht="15.75" customHeight="1" s="29"/>
    <row r="851" ht="15.75" customHeight="1" s="29"/>
    <row r="852" ht="15.75" customHeight="1" s="29"/>
    <row r="853" ht="15.75" customHeight="1" s="29"/>
    <row r="854" ht="15.75" customHeight="1" s="29"/>
    <row r="855" ht="15.75" customHeight="1" s="29"/>
    <row r="856" ht="15.75" customHeight="1" s="29"/>
    <row r="857" ht="15.75" customHeight="1" s="29"/>
    <row r="858" ht="15.75" customHeight="1" s="29"/>
    <row r="859" ht="15.75" customHeight="1" s="29"/>
    <row r="860" ht="15.75" customHeight="1" s="29"/>
    <row r="861" ht="15.75" customHeight="1" s="29"/>
    <row r="862" ht="15.75" customHeight="1" s="29"/>
    <row r="863" ht="15.75" customHeight="1" s="29"/>
    <row r="864" ht="15.75" customHeight="1" s="29"/>
    <row r="865" ht="15.75" customHeight="1" s="29"/>
    <row r="866" ht="15.75" customHeight="1" s="29"/>
    <row r="867" ht="15.75" customHeight="1" s="29"/>
    <row r="868" ht="15.75" customHeight="1" s="29"/>
    <row r="869" ht="15.75" customHeight="1" s="29"/>
    <row r="870" ht="15.75" customHeight="1" s="29"/>
    <row r="871" ht="15.75" customHeight="1" s="29"/>
    <row r="872" ht="15.75" customHeight="1" s="29"/>
    <row r="873" ht="15.75" customHeight="1" s="29"/>
    <row r="874" ht="15.75" customHeight="1" s="29"/>
    <row r="875" ht="15.75" customHeight="1" s="29"/>
    <row r="876" ht="15.75" customHeight="1" s="29"/>
    <row r="877" ht="15.75" customHeight="1" s="29"/>
    <row r="878" ht="15.75" customHeight="1" s="29"/>
    <row r="879" ht="15.75" customHeight="1" s="29"/>
    <row r="880" ht="15.75" customHeight="1" s="29"/>
    <row r="881" ht="15.75" customHeight="1" s="29"/>
    <row r="882" ht="15.75" customHeight="1" s="29"/>
    <row r="883" ht="15.75" customHeight="1" s="29"/>
    <row r="884" ht="15.75" customHeight="1" s="29"/>
    <row r="885" ht="15.75" customHeight="1" s="29"/>
    <row r="886" ht="15.75" customHeight="1" s="29"/>
    <row r="887" ht="15.75" customHeight="1" s="29"/>
    <row r="888" ht="15.75" customHeight="1" s="29"/>
    <row r="889" ht="15.75" customHeight="1" s="29"/>
    <row r="890" ht="15.75" customHeight="1" s="29"/>
    <row r="891" ht="15.75" customHeight="1" s="29"/>
    <row r="892" ht="15.75" customHeight="1" s="29"/>
    <row r="893" ht="15.75" customHeight="1" s="29"/>
    <row r="894" ht="15.75" customHeight="1" s="29"/>
    <row r="895" ht="15.75" customHeight="1" s="29"/>
    <row r="896" ht="15.75" customHeight="1" s="29"/>
    <row r="897" ht="15.75" customHeight="1" s="29"/>
    <row r="898" ht="15.75" customHeight="1" s="29"/>
    <row r="899" ht="15.75" customHeight="1" s="29"/>
    <row r="900" ht="15.75" customHeight="1" s="29"/>
    <row r="901" ht="15.75" customHeight="1" s="29"/>
    <row r="902" ht="15.75" customHeight="1" s="29"/>
    <row r="903" ht="15.75" customHeight="1" s="29"/>
    <row r="904" ht="15.75" customHeight="1" s="29"/>
    <row r="905" ht="15.75" customHeight="1" s="29"/>
    <row r="906" ht="15.75" customHeight="1" s="29"/>
    <row r="907" ht="15.75" customHeight="1" s="29"/>
    <row r="908" ht="15.75" customHeight="1" s="29"/>
    <row r="909" ht="15.75" customHeight="1" s="29"/>
    <row r="910" ht="15.75" customHeight="1" s="29"/>
    <row r="911" ht="15.75" customHeight="1" s="29"/>
    <row r="912" ht="15.75" customHeight="1" s="29"/>
    <row r="913" ht="15.75" customHeight="1" s="29"/>
    <row r="914" ht="15.75" customHeight="1" s="29"/>
    <row r="915" ht="15.75" customHeight="1" s="29"/>
    <row r="916" ht="15.75" customHeight="1" s="29"/>
    <row r="917" ht="15.75" customHeight="1" s="29"/>
    <row r="918" ht="15.75" customHeight="1" s="29"/>
    <row r="919" ht="15.75" customHeight="1" s="29"/>
    <row r="920" ht="15.75" customHeight="1" s="29"/>
    <row r="921" ht="15.75" customHeight="1" s="29"/>
    <row r="922" ht="15.75" customHeight="1" s="29"/>
    <row r="923" ht="15.75" customHeight="1" s="29"/>
    <row r="924" ht="15.75" customHeight="1" s="29"/>
    <row r="925" ht="15.75" customHeight="1" s="29"/>
    <row r="926" ht="15.75" customHeight="1" s="29"/>
    <row r="927" ht="15.75" customHeight="1" s="29"/>
    <row r="928" ht="15.75" customHeight="1" s="29"/>
    <row r="929" ht="15.75" customHeight="1" s="29"/>
    <row r="930" ht="15.75" customHeight="1" s="29"/>
    <row r="931" ht="15.75" customHeight="1" s="29"/>
    <row r="932" ht="15.75" customHeight="1" s="29"/>
    <row r="933" ht="15.75" customHeight="1" s="29"/>
    <row r="934" ht="15.75" customHeight="1" s="29"/>
    <row r="935" ht="15.75" customHeight="1" s="29"/>
    <row r="936" ht="15.75" customHeight="1" s="29"/>
    <row r="937" ht="15.75" customHeight="1" s="29"/>
    <row r="938" ht="15.75" customHeight="1" s="29"/>
    <row r="939" ht="15.75" customHeight="1" s="29"/>
    <row r="940" ht="15.75" customHeight="1" s="29"/>
    <row r="941" ht="15.75" customHeight="1" s="29"/>
    <row r="942" ht="15.75" customHeight="1" s="29"/>
    <row r="943" ht="15.75" customHeight="1" s="29"/>
    <row r="944" ht="15.75" customHeight="1" s="29"/>
    <row r="945" ht="15.75" customHeight="1" s="29"/>
    <row r="946" ht="15.75" customHeight="1" s="29"/>
    <row r="947" ht="15.75" customHeight="1" s="29"/>
    <row r="948" ht="15.75" customHeight="1" s="29"/>
    <row r="949" ht="15.75" customHeight="1" s="29"/>
    <row r="950" ht="15.75" customHeight="1" s="29"/>
    <row r="951" ht="15.75" customHeight="1" s="29"/>
    <row r="952" ht="15.75" customHeight="1" s="29"/>
    <row r="953" ht="15.75" customHeight="1" s="29"/>
    <row r="954" ht="15.75" customHeight="1" s="29"/>
    <row r="955" ht="15.75" customHeight="1" s="29"/>
    <row r="956" ht="15.75" customHeight="1" s="29"/>
    <row r="957" ht="15.75" customHeight="1" s="29"/>
    <row r="958" ht="15.75" customHeight="1" s="29"/>
    <row r="959" ht="15.75" customHeight="1" s="29"/>
    <row r="960" ht="15.75" customHeight="1" s="29"/>
    <row r="961" ht="15.75" customHeight="1" s="29"/>
    <row r="962" ht="15.75" customHeight="1" s="29"/>
    <row r="963" ht="15.75" customHeight="1" s="29"/>
    <row r="964" ht="15.75" customHeight="1" s="29"/>
    <row r="965" ht="15.75" customHeight="1" s="29"/>
    <row r="966" ht="15.75" customHeight="1" s="29"/>
    <row r="967" ht="15.75" customHeight="1" s="29"/>
    <row r="968" ht="15.75" customHeight="1" s="29"/>
    <row r="969" ht="15.75" customHeight="1" s="29"/>
    <row r="970" ht="15.75" customHeight="1" s="29"/>
    <row r="971" ht="15.75" customHeight="1" s="29"/>
    <row r="972" ht="15.75" customHeight="1" s="29"/>
    <row r="973" ht="15.75" customHeight="1" s="29"/>
    <row r="974" ht="15.75" customHeight="1" s="29"/>
    <row r="975" ht="15.75" customHeight="1" s="29"/>
    <row r="976" ht="15.75" customHeight="1" s="29"/>
    <row r="977" ht="15.75" customHeight="1" s="29"/>
    <row r="978" ht="15.75" customHeight="1" s="29"/>
    <row r="979" ht="15.75" customHeight="1" s="29"/>
    <row r="980" ht="15.75" customHeight="1" s="29"/>
    <row r="981" ht="15.75" customHeight="1" s="29"/>
    <row r="982" ht="15.75" customHeight="1" s="29"/>
    <row r="983" ht="15.75" customHeight="1" s="29"/>
    <row r="984" ht="15.75" customHeight="1" s="29"/>
    <row r="985" ht="15.75" customHeight="1" s="29"/>
    <row r="986" ht="15.75" customHeight="1" s="29"/>
    <row r="987" ht="15.75" customHeight="1" s="29"/>
    <row r="988" ht="15.75" customHeight="1" s="29"/>
    <row r="989" ht="15.75" customHeight="1" s="29"/>
    <row r="990" ht="15.75" customHeight="1" s="29"/>
    <row r="991" ht="15.75" customHeight="1" s="29"/>
    <row r="992" ht="15.75" customHeight="1" s="29"/>
    <row r="993" ht="15.75" customHeight="1" s="29"/>
    <row r="994" ht="15.75" customHeight="1" s="29"/>
    <row r="995" ht="15.75" customHeight="1" s="29"/>
    <row r="996" ht="15.75" customHeight="1" s="29"/>
    <row r="997" ht="15.75" customHeight="1" s="29"/>
    <row r="998" ht="15.75" customHeight="1" s="29"/>
    <row r="999" ht="15.75" customHeight="1" s="29"/>
    <row r="1000" ht="15.75" customHeight="1" s="29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ColWidth="14.43" defaultRowHeight="15" customHeight="1"/>
  <cols>
    <col width="97" customWidth="1" style="29" min="1" max="1"/>
    <col width="44" customWidth="1" style="29" min="2" max="2"/>
    <col width="15" customWidth="1" style="29" min="3" max="3"/>
    <col width="38" customWidth="1" style="29" min="4" max="4"/>
    <col width="68" customWidth="1" style="29" min="5" max="5"/>
    <col width="20" customWidth="1" style="29" min="6" max="6"/>
    <col width="8.710000000000001" customWidth="1" style="29" min="7" max="26"/>
  </cols>
  <sheetData>
    <row r="1">
      <c r="A1" s="1" t="inlineStr">
        <is>
          <t>KẾ HOẠCH TẠM ỨNG VÀ THANH TOÁN THEO MỐC MILESTONE</t>
        </is>
      </c>
    </row>
    <row r="2">
      <c r="A2" s="2" t="inlineStr">
        <is>
          <t>Khớp 100% Giá trị Hợp đồng sau VAT (1.200.000.000 VNĐ) theo Điều kiện Cụ thể của Hợp đồng E-ĐKCT</t>
        </is>
      </c>
    </row>
    <row r="4">
      <c r="A4" s="4" t="inlineStr">
        <is>
          <t>Đợt TT</t>
        </is>
      </c>
      <c r="B4" s="4" t="inlineStr">
        <is>
          <t>Mốc Milestone / Giai Đoạn</t>
        </is>
      </c>
      <c r="C4" s="4" t="inlineStr">
        <is>
          <t>Tỷ Lệ (%)</t>
        </is>
      </c>
      <c r="D4" s="4" t="inlineStr">
        <is>
          <t>Giá Trị Thanh Toán (VNĐ)</t>
        </is>
      </c>
      <c r="E4" s="4" t="inlineStr">
        <is>
          <t>Điều Kiện &amp; Sản Phẩm Nghiệm Thu</t>
        </is>
      </c>
      <c r="F4" s="4" t="inlineStr">
        <is>
          <t>Thời Gian Dự Kiến</t>
        </is>
      </c>
    </row>
    <row r="5">
      <c r="A5" s="9" t="inlineStr">
        <is>
          <t>Đợt 1</t>
        </is>
      </c>
      <c r="B5" s="27" t="inlineStr">
        <is>
          <t>Tạm ứng hợp đồng (Advance Payment)</t>
        </is>
      </c>
      <c r="C5" s="14" t="n">
        <v>0.2</v>
      </c>
      <c r="D5" s="30">
        <f>'Cost Summary &amp; Dashboard'!H23*C5</f>
        <v/>
      </c>
      <c r="E5" s="27" t="inlineStr">
        <is>
          <t>Ngay sau khi ký hợp đồng &amp; nộp Bảo lãnh tạm ứng ngân hàng</t>
        </is>
      </c>
      <c r="F5" s="9" t="inlineStr">
        <is>
          <t>Tháng 03/2026</t>
        </is>
      </c>
    </row>
    <row r="6">
      <c r="A6" s="9" t="inlineStr">
        <is>
          <t>Đợt 2</t>
        </is>
      </c>
      <c r="B6" s="27" t="inlineStr">
        <is>
          <t>Nghiệm thu Sprint 1–2 (Khách hàng &amp; Danh mục)</t>
        </is>
      </c>
      <c r="C6" s="14" t="n">
        <v>0.2</v>
      </c>
      <c r="D6" s="30">
        <f>'Cost Summary &amp; Dashboard'!H23*C6</f>
        <v/>
      </c>
      <c r="E6" s="27" t="inlineStr">
        <is>
          <t>Biên bản nghiệm thu Product Increment Sprint 2 đạt yêu cầu</t>
        </is>
      </c>
      <c r="F6" s="9" t="inlineStr">
        <is>
          <t>Tháng 04/2026</t>
        </is>
      </c>
    </row>
    <row r="7">
      <c r="A7" s="9" t="inlineStr">
        <is>
          <t>Đợt 3</t>
        </is>
      </c>
      <c r="B7" s="27" t="inlineStr">
        <is>
          <t>Nghiệm thu Sprint 3–5 (Giỏ hàng &amp; Đặt hàng)</t>
        </is>
      </c>
      <c r="C7" s="14" t="n">
        <v>0.25</v>
      </c>
      <c r="D7" s="30">
        <f>'Cost Summary &amp; Dashboard'!H23*C7</f>
        <v/>
      </c>
      <c r="E7" s="27" t="inlineStr">
        <is>
          <t>Biên bản nghiệm thu Product Increment Sprint 5 đạt yêu cầu</t>
        </is>
      </c>
      <c r="F7" s="9" t="inlineStr">
        <is>
          <t>Tháng 05/2026</t>
        </is>
      </c>
    </row>
    <row r="8">
      <c r="A8" s="9" t="inlineStr">
        <is>
          <t>Đợt 4</t>
        </is>
      </c>
      <c r="B8" s="27" t="inlineStr">
        <is>
          <t>Nghiệm thu Sprint 6–8 &amp; Cut-over 01/07</t>
        </is>
      </c>
      <c r="C8" s="14" t="n">
        <v>0.25</v>
      </c>
      <c r="D8" s="30">
        <f>'Cost Summary &amp; Dashboard'!H23*C8</f>
        <v/>
      </c>
      <c r="E8" s="27" t="inlineStr">
        <is>
          <t>Biên bản nghiệm thu Product Increment Sprint 8, kiểm thử vận hành đạt yêu cầu và hoàn tất Cut-over 01/07/2026</t>
        </is>
      </c>
      <c r="F8" s="9" t="inlineStr">
        <is>
          <t>Tháng 07/2026</t>
        </is>
      </c>
    </row>
    <row r="9">
      <c r="A9" s="9" t="inlineStr">
        <is>
          <t>Đợt 5</t>
        </is>
      </c>
      <c r="B9" s="27" t="inlineStr">
        <is>
          <t>Thanh lý hợp đồng &amp; chuyển sang bảo hành</t>
        </is>
      </c>
      <c r="C9" s="14" t="n">
        <v>0.1</v>
      </c>
      <c r="D9" s="30">
        <f>'Cost Summary &amp; Dashboard'!H23*C9</f>
        <v/>
      </c>
      <c r="E9" s="27" t="inlineStr">
        <is>
          <t>Hoàn thành 01 tháng Hypercare, bàn giao đủ 04 bộ tài liệu và nộp cam kết bảo hành 12 tháng</t>
        </is>
      </c>
      <c r="F9" s="9" t="inlineStr">
        <is>
          <t>Tháng 08/2026</t>
        </is>
      </c>
    </row>
    <row r="10">
      <c r="A10" s="9" t="inlineStr">
        <is>
          <t>TỔNG CỘNG GIÁ TRỊ THANH TOÁN (SAU VAT)</t>
        </is>
      </c>
      <c r="B10" s="27" t="n"/>
      <c r="C10" s="14">
        <f>SUM(C5:C9)</f>
        <v/>
      </c>
      <c r="D10" s="30">
        <f>SUM(D5:D9)</f>
        <v/>
      </c>
      <c r="E10" s="27" t="n"/>
      <c r="F10" s="9" t="n"/>
    </row>
    <row r="11">
      <c r="A11" s="19" t="n"/>
      <c r="B11" s="19" t="n"/>
      <c r="C11" s="21" t="n"/>
      <c r="D11" s="24" t="n"/>
      <c r="E11" s="19" t="n"/>
      <c r="F11" s="19" t="n"/>
    </row>
    <row r="21" ht="15.75" customHeight="1" s="29"/>
    <row r="22" ht="15.75" customHeight="1" s="29"/>
    <row r="23" ht="15.75" customHeight="1" s="29"/>
    <row r="24" ht="15.75" customHeight="1" s="29"/>
    <row r="25" ht="15.75" customHeight="1" s="29"/>
    <row r="26" ht="15.75" customHeight="1" s="29"/>
    <row r="27" ht="15.75" customHeight="1" s="29"/>
    <row r="28" ht="15.75" customHeight="1" s="29"/>
    <row r="29" ht="15.75" customHeight="1" s="29"/>
    <row r="30" ht="15.75" customHeight="1" s="29"/>
    <row r="31" ht="15.75" customHeight="1" s="29"/>
    <row r="32" ht="15.75" customHeight="1" s="29"/>
    <row r="33" ht="15.75" customHeight="1" s="29"/>
    <row r="34" ht="15.75" customHeight="1" s="29"/>
    <row r="35" ht="15.75" customHeight="1" s="29"/>
    <row r="36" ht="15.75" customHeight="1" s="29"/>
    <row r="37" ht="15.75" customHeight="1" s="29"/>
    <row r="38" ht="15.75" customHeight="1" s="29"/>
    <row r="39" ht="15.75" customHeight="1" s="29"/>
    <row r="40" ht="15.75" customHeight="1" s="29"/>
    <row r="41" ht="15.75" customHeight="1" s="29"/>
    <row r="42" ht="15.75" customHeight="1" s="29"/>
    <row r="43" ht="15.75" customHeight="1" s="29"/>
    <row r="44" ht="15.75" customHeight="1" s="29"/>
    <row r="45" ht="15.75" customHeight="1" s="29"/>
    <row r="46" ht="15.75" customHeight="1" s="29"/>
    <row r="47" ht="15.75" customHeight="1" s="29"/>
    <row r="48" ht="15.75" customHeight="1" s="29"/>
    <row r="49" ht="15.75" customHeight="1" s="29"/>
    <row r="50" ht="15.75" customHeight="1" s="29"/>
    <row r="51" ht="15.75" customHeight="1" s="29"/>
    <row r="52" ht="15.75" customHeight="1" s="29"/>
    <row r="53" ht="15.75" customHeight="1" s="29"/>
    <row r="54" ht="15.75" customHeight="1" s="29"/>
    <row r="55" ht="15.75" customHeight="1" s="29"/>
    <row r="56" ht="15.75" customHeight="1" s="29"/>
    <row r="57" ht="15.75" customHeight="1" s="29"/>
    <row r="58" ht="15.75" customHeight="1" s="29"/>
    <row r="59" ht="15.75" customHeight="1" s="29"/>
    <row r="60" ht="15.75" customHeight="1" s="29"/>
    <row r="61" ht="15.75" customHeight="1" s="29"/>
    <row r="62" ht="15.75" customHeight="1" s="29"/>
    <row r="63" ht="15.75" customHeight="1" s="29"/>
    <row r="64" ht="15.75" customHeight="1" s="29"/>
    <row r="65" ht="15.75" customHeight="1" s="29"/>
    <row r="66" ht="15.75" customHeight="1" s="29"/>
    <row r="67" ht="15.75" customHeight="1" s="29"/>
    <row r="68" ht="15.75" customHeight="1" s="29"/>
    <row r="69" ht="15.75" customHeight="1" s="29"/>
    <row r="70" ht="15.75" customHeight="1" s="29"/>
    <row r="71" ht="15.75" customHeight="1" s="29"/>
    <row r="72" ht="15.75" customHeight="1" s="29"/>
    <row r="73" ht="15.75" customHeight="1" s="29"/>
    <row r="74" ht="15.75" customHeight="1" s="29"/>
    <row r="75" ht="15.75" customHeight="1" s="29"/>
    <row r="76" ht="15.75" customHeight="1" s="29"/>
    <row r="77" ht="15.75" customHeight="1" s="29"/>
    <row r="78" ht="15.75" customHeight="1" s="29"/>
    <row r="79" ht="15.75" customHeight="1" s="29"/>
    <row r="80" ht="15.75" customHeight="1" s="29"/>
    <row r="81" ht="15.75" customHeight="1" s="29"/>
    <row r="82" ht="15.75" customHeight="1" s="29"/>
    <row r="83" ht="15.75" customHeight="1" s="29"/>
    <row r="84" ht="15.75" customHeight="1" s="29"/>
    <row r="85" ht="15.75" customHeight="1" s="29"/>
    <row r="86" ht="15.75" customHeight="1" s="29"/>
    <row r="87" ht="15.75" customHeight="1" s="29"/>
    <row r="88" ht="15.75" customHeight="1" s="29"/>
    <row r="89" ht="15.75" customHeight="1" s="29"/>
    <row r="90" ht="15.75" customHeight="1" s="29"/>
    <row r="91" ht="15.75" customHeight="1" s="29"/>
    <row r="92" ht="15.75" customHeight="1" s="29"/>
    <row r="93" ht="15.75" customHeight="1" s="29"/>
    <row r="94" ht="15.75" customHeight="1" s="29"/>
    <row r="95" ht="15.75" customHeight="1" s="29"/>
    <row r="96" ht="15.75" customHeight="1" s="29"/>
    <row r="97" ht="15.75" customHeight="1" s="29"/>
    <row r="98" ht="15.75" customHeight="1" s="29"/>
    <row r="99" ht="15.75" customHeight="1" s="29"/>
    <row r="100" ht="15.75" customHeight="1" s="29"/>
    <row r="101" ht="15.75" customHeight="1" s="29"/>
    <row r="102" ht="15.75" customHeight="1" s="29"/>
    <row r="103" ht="15.75" customHeight="1" s="29"/>
    <row r="104" ht="15.75" customHeight="1" s="29"/>
    <row r="105" ht="15.75" customHeight="1" s="29"/>
    <row r="106" ht="15.75" customHeight="1" s="29"/>
    <row r="107" ht="15.75" customHeight="1" s="29"/>
    <row r="108" ht="15.75" customHeight="1" s="29"/>
    <row r="109" ht="15.75" customHeight="1" s="29"/>
    <row r="110" ht="15.75" customHeight="1" s="29"/>
    <row r="111" ht="15.75" customHeight="1" s="29"/>
    <row r="112" ht="15.75" customHeight="1" s="29"/>
    <row r="113" ht="15.75" customHeight="1" s="29"/>
    <row r="114" ht="15.75" customHeight="1" s="29"/>
    <row r="115" ht="15.75" customHeight="1" s="29"/>
    <row r="116" ht="15.75" customHeight="1" s="29"/>
    <row r="117" ht="15.75" customHeight="1" s="29"/>
    <row r="118" ht="15.75" customHeight="1" s="29"/>
    <row r="119" ht="15.75" customHeight="1" s="29"/>
    <row r="120" ht="15.75" customHeight="1" s="29"/>
    <row r="121" ht="15.75" customHeight="1" s="29"/>
    <row r="122" ht="15.75" customHeight="1" s="29"/>
    <row r="123" ht="15.75" customHeight="1" s="29"/>
    <row r="124" ht="15.75" customHeight="1" s="29"/>
    <row r="125" ht="15.75" customHeight="1" s="29"/>
    <row r="126" ht="15.75" customHeight="1" s="29"/>
    <row r="127" ht="15.75" customHeight="1" s="29"/>
    <row r="128" ht="15.75" customHeight="1" s="29"/>
    <row r="129" ht="15.75" customHeight="1" s="29"/>
    <row r="130" ht="15.75" customHeight="1" s="29"/>
    <row r="131" ht="15.75" customHeight="1" s="29"/>
    <row r="132" ht="15.75" customHeight="1" s="29"/>
    <row r="133" ht="15.75" customHeight="1" s="29"/>
    <row r="134" ht="15.75" customHeight="1" s="29"/>
    <row r="135" ht="15.75" customHeight="1" s="29"/>
    <row r="136" ht="15.75" customHeight="1" s="29"/>
    <row r="137" ht="15.75" customHeight="1" s="29"/>
    <row r="138" ht="15.75" customHeight="1" s="29"/>
    <row r="139" ht="15.75" customHeight="1" s="29"/>
    <row r="140" ht="15.75" customHeight="1" s="29"/>
    <row r="141" ht="15.75" customHeight="1" s="29"/>
    <row r="142" ht="15.75" customHeight="1" s="29"/>
    <row r="143" ht="15.75" customHeight="1" s="29"/>
    <row r="144" ht="15.75" customHeight="1" s="29"/>
    <row r="145" ht="15.75" customHeight="1" s="29"/>
    <row r="146" ht="15.75" customHeight="1" s="29"/>
    <row r="147" ht="15.75" customHeight="1" s="29"/>
    <row r="148" ht="15.75" customHeight="1" s="29"/>
    <row r="149" ht="15.75" customHeight="1" s="29"/>
    <row r="150" ht="15.75" customHeight="1" s="29"/>
    <row r="151" ht="15.75" customHeight="1" s="29"/>
    <row r="152" ht="15.75" customHeight="1" s="29"/>
    <row r="153" ht="15.75" customHeight="1" s="29"/>
    <row r="154" ht="15.75" customHeight="1" s="29"/>
    <row r="155" ht="15.75" customHeight="1" s="29"/>
    <row r="156" ht="15.75" customHeight="1" s="29"/>
    <row r="157" ht="15.75" customHeight="1" s="29"/>
    <row r="158" ht="15.75" customHeight="1" s="29"/>
    <row r="159" ht="15.75" customHeight="1" s="29"/>
    <row r="160" ht="15.75" customHeight="1" s="29"/>
    <row r="161" ht="15.75" customHeight="1" s="29"/>
    <row r="162" ht="15.75" customHeight="1" s="29"/>
    <row r="163" ht="15.75" customHeight="1" s="29"/>
    <row r="164" ht="15.75" customHeight="1" s="29"/>
    <row r="165" ht="15.75" customHeight="1" s="29"/>
    <row r="166" ht="15.75" customHeight="1" s="29"/>
    <row r="167" ht="15.75" customHeight="1" s="29"/>
    <row r="168" ht="15.75" customHeight="1" s="29"/>
    <row r="169" ht="15.75" customHeight="1" s="29"/>
    <row r="170" ht="15.75" customHeight="1" s="29"/>
    <row r="171" ht="15.75" customHeight="1" s="29"/>
    <row r="172" ht="15.75" customHeight="1" s="29"/>
    <row r="173" ht="15.75" customHeight="1" s="29"/>
    <row r="174" ht="15.75" customHeight="1" s="29"/>
    <row r="175" ht="15.75" customHeight="1" s="29"/>
    <row r="176" ht="15.75" customHeight="1" s="29"/>
    <row r="177" ht="15.75" customHeight="1" s="29"/>
    <row r="178" ht="15.75" customHeight="1" s="29"/>
    <row r="179" ht="15.75" customHeight="1" s="29"/>
    <row r="180" ht="15.75" customHeight="1" s="29"/>
    <row r="181" ht="15.75" customHeight="1" s="29"/>
    <row r="182" ht="15.75" customHeight="1" s="29"/>
    <row r="183" ht="15.75" customHeight="1" s="29"/>
    <row r="184" ht="15.75" customHeight="1" s="29"/>
    <row r="185" ht="15.75" customHeight="1" s="29"/>
    <row r="186" ht="15.75" customHeight="1" s="29"/>
    <row r="187" ht="15.75" customHeight="1" s="29"/>
    <row r="188" ht="15.75" customHeight="1" s="29"/>
    <row r="189" ht="15.75" customHeight="1" s="29"/>
    <row r="190" ht="15.75" customHeight="1" s="29"/>
    <row r="191" ht="15.75" customHeight="1" s="29"/>
    <row r="192" ht="15.75" customHeight="1" s="29"/>
    <row r="193" ht="15.75" customHeight="1" s="29"/>
    <row r="194" ht="15.75" customHeight="1" s="29"/>
    <row r="195" ht="15.75" customHeight="1" s="29"/>
    <row r="196" ht="15.75" customHeight="1" s="29"/>
    <row r="197" ht="15.75" customHeight="1" s="29"/>
    <row r="198" ht="15.75" customHeight="1" s="29"/>
    <row r="199" ht="15.75" customHeight="1" s="29"/>
    <row r="200" ht="15.75" customHeight="1" s="29"/>
    <row r="201" ht="15.75" customHeight="1" s="29"/>
    <row r="202" ht="15.75" customHeight="1" s="29"/>
    <row r="203" ht="15.75" customHeight="1" s="29"/>
    <row r="204" ht="15.75" customHeight="1" s="29"/>
    <row r="205" ht="15.75" customHeight="1" s="29"/>
    <row r="206" ht="15.75" customHeight="1" s="29"/>
    <row r="207" ht="15.75" customHeight="1" s="29"/>
    <row r="208" ht="15.75" customHeight="1" s="29"/>
    <row r="209" ht="15.75" customHeight="1" s="29"/>
    <row r="210" ht="15.75" customHeight="1" s="29"/>
    <row r="211" ht="15.75" customHeight="1" s="29"/>
    <row r="212" ht="15.75" customHeight="1" s="29"/>
    <row r="213" ht="15.75" customHeight="1" s="29"/>
    <row r="214" ht="15.75" customHeight="1" s="29"/>
    <row r="215" ht="15.75" customHeight="1" s="29"/>
    <row r="216" ht="15.75" customHeight="1" s="29"/>
    <row r="217" ht="15.75" customHeight="1" s="29"/>
    <row r="218" ht="15.75" customHeight="1" s="29"/>
    <row r="219" ht="15.75" customHeight="1" s="29"/>
    <row r="220" ht="15.75" customHeight="1" s="29"/>
    <row r="221" ht="15.75" customHeight="1" s="29"/>
    <row r="222" ht="15.75" customHeight="1" s="29"/>
    <row r="223" ht="15.75" customHeight="1" s="29"/>
    <row r="224" ht="15.75" customHeight="1" s="29"/>
    <row r="225" ht="15.75" customHeight="1" s="29"/>
    <row r="226" ht="15.75" customHeight="1" s="29"/>
    <row r="227" ht="15.75" customHeight="1" s="29"/>
    <row r="228" ht="15.75" customHeight="1" s="29"/>
    <row r="229" ht="15.75" customHeight="1" s="29"/>
    <row r="230" ht="15.75" customHeight="1" s="29"/>
    <row r="231" ht="15.75" customHeight="1" s="29"/>
    <row r="232" ht="15.75" customHeight="1" s="29"/>
    <row r="233" ht="15.75" customHeight="1" s="29"/>
    <row r="234" ht="15.75" customHeight="1" s="29"/>
    <row r="235" ht="15.75" customHeight="1" s="29"/>
    <row r="236" ht="15.75" customHeight="1" s="29"/>
    <row r="237" ht="15.75" customHeight="1" s="29"/>
    <row r="238" ht="15.75" customHeight="1" s="29"/>
    <row r="239" ht="15.75" customHeight="1" s="29"/>
    <row r="240" ht="15.75" customHeight="1" s="29"/>
    <row r="241" ht="15.75" customHeight="1" s="29"/>
    <row r="242" ht="15.75" customHeight="1" s="29"/>
    <row r="243" ht="15.75" customHeight="1" s="29"/>
    <row r="244" ht="15.75" customHeight="1" s="29"/>
    <row r="245" ht="15.75" customHeight="1" s="29"/>
    <row r="246" ht="15.75" customHeight="1" s="29"/>
    <row r="247" ht="15.75" customHeight="1" s="29"/>
    <row r="248" ht="15.75" customHeight="1" s="29"/>
    <row r="249" ht="15.75" customHeight="1" s="29"/>
    <row r="250" ht="15.75" customHeight="1" s="29"/>
    <row r="251" ht="15.75" customHeight="1" s="29"/>
    <row r="252" ht="15.75" customHeight="1" s="29"/>
    <row r="253" ht="15.75" customHeight="1" s="29"/>
    <row r="254" ht="15.75" customHeight="1" s="29"/>
    <row r="255" ht="15.75" customHeight="1" s="29"/>
    <row r="256" ht="15.75" customHeight="1" s="29"/>
    <row r="257" ht="15.75" customHeight="1" s="29"/>
    <row r="258" ht="15.75" customHeight="1" s="29"/>
    <row r="259" ht="15.75" customHeight="1" s="29"/>
    <row r="260" ht="15.75" customHeight="1" s="29"/>
    <row r="261" ht="15.75" customHeight="1" s="29"/>
    <row r="262" ht="15.75" customHeight="1" s="29"/>
    <row r="263" ht="15.75" customHeight="1" s="29"/>
    <row r="264" ht="15.75" customHeight="1" s="29"/>
    <row r="265" ht="15.75" customHeight="1" s="29"/>
    <row r="266" ht="15.75" customHeight="1" s="29"/>
    <row r="267" ht="15.75" customHeight="1" s="29"/>
    <row r="268" ht="15.75" customHeight="1" s="29"/>
    <row r="269" ht="15.75" customHeight="1" s="29"/>
    <row r="270" ht="15.75" customHeight="1" s="29"/>
    <row r="271" ht="15.75" customHeight="1" s="29"/>
    <row r="272" ht="15.75" customHeight="1" s="29"/>
    <row r="273" ht="15.75" customHeight="1" s="29"/>
    <row r="274" ht="15.75" customHeight="1" s="29"/>
    <row r="275" ht="15.75" customHeight="1" s="29"/>
    <row r="276" ht="15.75" customHeight="1" s="29"/>
    <row r="277" ht="15.75" customHeight="1" s="29"/>
    <row r="278" ht="15.75" customHeight="1" s="29"/>
    <row r="279" ht="15.75" customHeight="1" s="29"/>
    <row r="280" ht="15.75" customHeight="1" s="29"/>
    <row r="281" ht="15.75" customHeight="1" s="29"/>
    <row r="282" ht="15.75" customHeight="1" s="29"/>
    <row r="283" ht="15.75" customHeight="1" s="29"/>
    <row r="284" ht="15.75" customHeight="1" s="29"/>
    <row r="285" ht="15.75" customHeight="1" s="29"/>
    <row r="286" ht="15.75" customHeight="1" s="29"/>
    <row r="287" ht="15.75" customHeight="1" s="29"/>
    <row r="288" ht="15.75" customHeight="1" s="29"/>
    <row r="289" ht="15.75" customHeight="1" s="29"/>
    <row r="290" ht="15.75" customHeight="1" s="29"/>
    <row r="291" ht="15.75" customHeight="1" s="29"/>
    <row r="292" ht="15.75" customHeight="1" s="29"/>
    <row r="293" ht="15.75" customHeight="1" s="29"/>
    <row r="294" ht="15.75" customHeight="1" s="29"/>
    <row r="295" ht="15.75" customHeight="1" s="29"/>
    <row r="296" ht="15.75" customHeight="1" s="29"/>
    <row r="297" ht="15.75" customHeight="1" s="29"/>
    <row r="298" ht="15.75" customHeight="1" s="29"/>
    <row r="299" ht="15.75" customHeight="1" s="29"/>
    <row r="300" ht="15.75" customHeight="1" s="29"/>
    <row r="301" ht="15.75" customHeight="1" s="29"/>
    <row r="302" ht="15.75" customHeight="1" s="29"/>
    <row r="303" ht="15.75" customHeight="1" s="29"/>
    <row r="304" ht="15.75" customHeight="1" s="29"/>
    <row r="305" ht="15.75" customHeight="1" s="29"/>
    <row r="306" ht="15.75" customHeight="1" s="29"/>
    <row r="307" ht="15.75" customHeight="1" s="29"/>
    <row r="308" ht="15.75" customHeight="1" s="29"/>
    <row r="309" ht="15.75" customHeight="1" s="29"/>
    <row r="310" ht="15.75" customHeight="1" s="29"/>
    <row r="311" ht="15.75" customHeight="1" s="29"/>
    <row r="312" ht="15.75" customHeight="1" s="29"/>
    <row r="313" ht="15.75" customHeight="1" s="29"/>
    <row r="314" ht="15.75" customHeight="1" s="29"/>
    <row r="315" ht="15.75" customHeight="1" s="29"/>
    <row r="316" ht="15.75" customHeight="1" s="29"/>
    <row r="317" ht="15.75" customHeight="1" s="29"/>
    <row r="318" ht="15.75" customHeight="1" s="29"/>
    <row r="319" ht="15.75" customHeight="1" s="29"/>
    <row r="320" ht="15.75" customHeight="1" s="29"/>
    <row r="321" ht="15.75" customHeight="1" s="29"/>
    <row r="322" ht="15.75" customHeight="1" s="29"/>
    <row r="323" ht="15.75" customHeight="1" s="29"/>
    <row r="324" ht="15.75" customHeight="1" s="29"/>
    <row r="325" ht="15.75" customHeight="1" s="29"/>
    <row r="326" ht="15.75" customHeight="1" s="29"/>
    <row r="327" ht="15.75" customHeight="1" s="29"/>
    <row r="328" ht="15.75" customHeight="1" s="29"/>
    <row r="329" ht="15.75" customHeight="1" s="29"/>
    <row r="330" ht="15.75" customHeight="1" s="29"/>
    <row r="331" ht="15.75" customHeight="1" s="29"/>
    <row r="332" ht="15.75" customHeight="1" s="29"/>
    <row r="333" ht="15.75" customHeight="1" s="29"/>
    <row r="334" ht="15.75" customHeight="1" s="29"/>
    <row r="335" ht="15.75" customHeight="1" s="29"/>
    <row r="336" ht="15.75" customHeight="1" s="29"/>
    <row r="337" ht="15.75" customHeight="1" s="29"/>
    <row r="338" ht="15.75" customHeight="1" s="29"/>
    <row r="339" ht="15.75" customHeight="1" s="29"/>
    <row r="340" ht="15.75" customHeight="1" s="29"/>
    <row r="341" ht="15.75" customHeight="1" s="29"/>
    <row r="342" ht="15.75" customHeight="1" s="29"/>
    <row r="343" ht="15.75" customHeight="1" s="29"/>
    <row r="344" ht="15.75" customHeight="1" s="29"/>
    <row r="345" ht="15.75" customHeight="1" s="29"/>
    <row r="346" ht="15.75" customHeight="1" s="29"/>
    <row r="347" ht="15.75" customHeight="1" s="29"/>
    <row r="348" ht="15.75" customHeight="1" s="29"/>
    <row r="349" ht="15.75" customHeight="1" s="29"/>
    <row r="350" ht="15.75" customHeight="1" s="29"/>
    <row r="351" ht="15.75" customHeight="1" s="29"/>
    <row r="352" ht="15.75" customHeight="1" s="29"/>
    <row r="353" ht="15.75" customHeight="1" s="29"/>
    <row r="354" ht="15.75" customHeight="1" s="29"/>
    <row r="355" ht="15.75" customHeight="1" s="29"/>
    <row r="356" ht="15.75" customHeight="1" s="29"/>
    <row r="357" ht="15.75" customHeight="1" s="29"/>
    <row r="358" ht="15.75" customHeight="1" s="29"/>
    <row r="359" ht="15.75" customHeight="1" s="29"/>
    <row r="360" ht="15.75" customHeight="1" s="29"/>
    <row r="361" ht="15.75" customHeight="1" s="29"/>
    <row r="362" ht="15.75" customHeight="1" s="29"/>
    <row r="363" ht="15.75" customHeight="1" s="29"/>
    <row r="364" ht="15.75" customHeight="1" s="29"/>
    <row r="365" ht="15.75" customHeight="1" s="29"/>
    <row r="366" ht="15.75" customHeight="1" s="29"/>
    <row r="367" ht="15.75" customHeight="1" s="29"/>
    <row r="368" ht="15.75" customHeight="1" s="29"/>
    <row r="369" ht="15.75" customHeight="1" s="29"/>
    <row r="370" ht="15.75" customHeight="1" s="29"/>
    <row r="371" ht="15.75" customHeight="1" s="29"/>
    <row r="372" ht="15.75" customHeight="1" s="29"/>
    <row r="373" ht="15.75" customHeight="1" s="29"/>
    <row r="374" ht="15.75" customHeight="1" s="29"/>
    <row r="375" ht="15.75" customHeight="1" s="29"/>
    <row r="376" ht="15.75" customHeight="1" s="29"/>
    <row r="377" ht="15.75" customHeight="1" s="29"/>
    <row r="378" ht="15.75" customHeight="1" s="29"/>
    <row r="379" ht="15.75" customHeight="1" s="29"/>
    <row r="380" ht="15.75" customHeight="1" s="29"/>
    <row r="381" ht="15.75" customHeight="1" s="29"/>
    <row r="382" ht="15.75" customHeight="1" s="29"/>
    <row r="383" ht="15.75" customHeight="1" s="29"/>
    <row r="384" ht="15.75" customHeight="1" s="29"/>
    <row r="385" ht="15.75" customHeight="1" s="29"/>
    <row r="386" ht="15.75" customHeight="1" s="29"/>
    <row r="387" ht="15.75" customHeight="1" s="29"/>
    <row r="388" ht="15.75" customHeight="1" s="29"/>
    <row r="389" ht="15.75" customHeight="1" s="29"/>
    <row r="390" ht="15.75" customHeight="1" s="29"/>
    <row r="391" ht="15.75" customHeight="1" s="29"/>
    <row r="392" ht="15.75" customHeight="1" s="29"/>
    <row r="393" ht="15.75" customHeight="1" s="29"/>
    <row r="394" ht="15.75" customHeight="1" s="29"/>
    <row r="395" ht="15.75" customHeight="1" s="29"/>
    <row r="396" ht="15.75" customHeight="1" s="29"/>
    <row r="397" ht="15.75" customHeight="1" s="29"/>
    <row r="398" ht="15.75" customHeight="1" s="29"/>
    <row r="399" ht="15.75" customHeight="1" s="29"/>
    <row r="400" ht="15.75" customHeight="1" s="29"/>
    <row r="401" ht="15.75" customHeight="1" s="29"/>
    <row r="402" ht="15.75" customHeight="1" s="29"/>
    <row r="403" ht="15.75" customHeight="1" s="29"/>
    <row r="404" ht="15.75" customHeight="1" s="29"/>
    <row r="405" ht="15.75" customHeight="1" s="29"/>
    <row r="406" ht="15.75" customHeight="1" s="29"/>
    <row r="407" ht="15.75" customHeight="1" s="29"/>
    <row r="408" ht="15.75" customHeight="1" s="29"/>
    <row r="409" ht="15.75" customHeight="1" s="29"/>
    <row r="410" ht="15.75" customHeight="1" s="29"/>
    <row r="411" ht="15.75" customHeight="1" s="29"/>
    <row r="412" ht="15.75" customHeight="1" s="29"/>
    <row r="413" ht="15.75" customHeight="1" s="29"/>
    <row r="414" ht="15.75" customHeight="1" s="29"/>
    <row r="415" ht="15.75" customHeight="1" s="29"/>
    <row r="416" ht="15.75" customHeight="1" s="29"/>
    <row r="417" ht="15.75" customHeight="1" s="29"/>
    <row r="418" ht="15.75" customHeight="1" s="29"/>
    <row r="419" ht="15.75" customHeight="1" s="29"/>
    <row r="420" ht="15.75" customHeight="1" s="29"/>
    <row r="421" ht="15.75" customHeight="1" s="29"/>
    <row r="422" ht="15.75" customHeight="1" s="29"/>
    <row r="423" ht="15.75" customHeight="1" s="29"/>
    <row r="424" ht="15.75" customHeight="1" s="29"/>
    <row r="425" ht="15.75" customHeight="1" s="29"/>
    <row r="426" ht="15.75" customHeight="1" s="29"/>
    <row r="427" ht="15.75" customHeight="1" s="29"/>
    <row r="428" ht="15.75" customHeight="1" s="29"/>
    <row r="429" ht="15.75" customHeight="1" s="29"/>
    <row r="430" ht="15.75" customHeight="1" s="29"/>
    <row r="431" ht="15.75" customHeight="1" s="29"/>
    <row r="432" ht="15.75" customHeight="1" s="29"/>
    <row r="433" ht="15.75" customHeight="1" s="29"/>
    <row r="434" ht="15.75" customHeight="1" s="29"/>
    <row r="435" ht="15.75" customHeight="1" s="29"/>
    <row r="436" ht="15.75" customHeight="1" s="29"/>
    <row r="437" ht="15.75" customHeight="1" s="29"/>
    <row r="438" ht="15.75" customHeight="1" s="29"/>
    <row r="439" ht="15.75" customHeight="1" s="29"/>
    <row r="440" ht="15.75" customHeight="1" s="29"/>
    <row r="441" ht="15.75" customHeight="1" s="29"/>
    <row r="442" ht="15.75" customHeight="1" s="29"/>
    <row r="443" ht="15.75" customHeight="1" s="29"/>
    <row r="444" ht="15.75" customHeight="1" s="29"/>
    <row r="445" ht="15.75" customHeight="1" s="29"/>
    <row r="446" ht="15.75" customHeight="1" s="29"/>
    <row r="447" ht="15.75" customHeight="1" s="29"/>
    <row r="448" ht="15.75" customHeight="1" s="29"/>
    <row r="449" ht="15.75" customHeight="1" s="29"/>
    <row r="450" ht="15.75" customHeight="1" s="29"/>
    <row r="451" ht="15.75" customHeight="1" s="29"/>
    <row r="452" ht="15.75" customHeight="1" s="29"/>
    <row r="453" ht="15.75" customHeight="1" s="29"/>
    <row r="454" ht="15.75" customHeight="1" s="29"/>
    <row r="455" ht="15.75" customHeight="1" s="29"/>
    <row r="456" ht="15.75" customHeight="1" s="29"/>
    <row r="457" ht="15.75" customHeight="1" s="29"/>
    <row r="458" ht="15.75" customHeight="1" s="29"/>
    <row r="459" ht="15.75" customHeight="1" s="29"/>
    <row r="460" ht="15.75" customHeight="1" s="29"/>
    <row r="461" ht="15.75" customHeight="1" s="29"/>
    <row r="462" ht="15.75" customHeight="1" s="29"/>
    <row r="463" ht="15.75" customHeight="1" s="29"/>
    <row r="464" ht="15.75" customHeight="1" s="29"/>
    <row r="465" ht="15.75" customHeight="1" s="29"/>
    <row r="466" ht="15.75" customHeight="1" s="29"/>
    <row r="467" ht="15.75" customHeight="1" s="29"/>
    <row r="468" ht="15.75" customHeight="1" s="29"/>
    <row r="469" ht="15.75" customHeight="1" s="29"/>
    <row r="470" ht="15.75" customHeight="1" s="29"/>
    <row r="471" ht="15.75" customHeight="1" s="29"/>
    <row r="472" ht="15.75" customHeight="1" s="29"/>
    <row r="473" ht="15.75" customHeight="1" s="29"/>
    <row r="474" ht="15.75" customHeight="1" s="29"/>
    <row r="475" ht="15.75" customHeight="1" s="29"/>
    <row r="476" ht="15.75" customHeight="1" s="29"/>
    <row r="477" ht="15.75" customHeight="1" s="29"/>
    <row r="478" ht="15.75" customHeight="1" s="29"/>
    <row r="479" ht="15.75" customHeight="1" s="29"/>
    <row r="480" ht="15.75" customHeight="1" s="29"/>
    <row r="481" ht="15.75" customHeight="1" s="29"/>
    <row r="482" ht="15.75" customHeight="1" s="29"/>
    <row r="483" ht="15.75" customHeight="1" s="29"/>
    <row r="484" ht="15.75" customHeight="1" s="29"/>
    <row r="485" ht="15.75" customHeight="1" s="29"/>
    <row r="486" ht="15.75" customHeight="1" s="29"/>
    <row r="487" ht="15.75" customHeight="1" s="29"/>
    <row r="488" ht="15.75" customHeight="1" s="29"/>
    <row r="489" ht="15.75" customHeight="1" s="29"/>
    <row r="490" ht="15.75" customHeight="1" s="29"/>
    <row r="491" ht="15.75" customHeight="1" s="29"/>
    <row r="492" ht="15.75" customHeight="1" s="29"/>
    <row r="493" ht="15.75" customHeight="1" s="29"/>
    <row r="494" ht="15.75" customHeight="1" s="29"/>
    <row r="495" ht="15.75" customHeight="1" s="29"/>
    <row r="496" ht="15.75" customHeight="1" s="29"/>
    <row r="497" ht="15.75" customHeight="1" s="29"/>
    <row r="498" ht="15.75" customHeight="1" s="29"/>
    <row r="499" ht="15.75" customHeight="1" s="29"/>
    <row r="500" ht="15.75" customHeight="1" s="29"/>
    <row r="501" ht="15.75" customHeight="1" s="29"/>
    <row r="502" ht="15.75" customHeight="1" s="29"/>
    <row r="503" ht="15.75" customHeight="1" s="29"/>
    <row r="504" ht="15.75" customHeight="1" s="29"/>
    <row r="505" ht="15.75" customHeight="1" s="29"/>
    <row r="506" ht="15.75" customHeight="1" s="29"/>
    <row r="507" ht="15.75" customHeight="1" s="29"/>
    <row r="508" ht="15.75" customHeight="1" s="29"/>
    <row r="509" ht="15.75" customHeight="1" s="29"/>
    <row r="510" ht="15.75" customHeight="1" s="29"/>
    <row r="511" ht="15.75" customHeight="1" s="29"/>
    <row r="512" ht="15.75" customHeight="1" s="29"/>
    <row r="513" ht="15.75" customHeight="1" s="29"/>
    <row r="514" ht="15.75" customHeight="1" s="29"/>
    <row r="515" ht="15.75" customHeight="1" s="29"/>
    <row r="516" ht="15.75" customHeight="1" s="29"/>
    <row r="517" ht="15.75" customHeight="1" s="29"/>
    <row r="518" ht="15.75" customHeight="1" s="29"/>
    <row r="519" ht="15.75" customHeight="1" s="29"/>
    <row r="520" ht="15.75" customHeight="1" s="29"/>
    <row r="521" ht="15.75" customHeight="1" s="29"/>
    <row r="522" ht="15.75" customHeight="1" s="29"/>
    <row r="523" ht="15.75" customHeight="1" s="29"/>
    <row r="524" ht="15.75" customHeight="1" s="29"/>
    <row r="525" ht="15.75" customHeight="1" s="29"/>
    <row r="526" ht="15.75" customHeight="1" s="29"/>
    <row r="527" ht="15.75" customHeight="1" s="29"/>
    <row r="528" ht="15.75" customHeight="1" s="29"/>
    <row r="529" ht="15.75" customHeight="1" s="29"/>
    <row r="530" ht="15.75" customHeight="1" s="29"/>
    <row r="531" ht="15.75" customHeight="1" s="29"/>
    <row r="532" ht="15.75" customHeight="1" s="29"/>
    <row r="533" ht="15.75" customHeight="1" s="29"/>
    <row r="534" ht="15.75" customHeight="1" s="29"/>
    <row r="535" ht="15.75" customHeight="1" s="29"/>
    <row r="536" ht="15.75" customHeight="1" s="29"/>
    <row r="537" ht="15.75" customHeight="1" s="29"/>
    <row r="538" ht="15.75" customHeight="1" s="29"/>
    <row r="539" ht="15.75" customHeight="1" s="29"/>
    <row r="540" ht="15.75" customHeight="1" s="29"/>
    <row r="541" ht="15.75" customHeight="1" s="29"/>
    <row r="542" ht="15.75" customHeight="1" s="29"/>
    <row r="543" ht="15.75" customHeight="1" s="29"/>
    <row r="544" ht="15.75" customHeight="1" s="29"/>
    <row r="545" ht="15.75" customHeight="1" s="29"/>
    <row r="546" ht="15.75" customHeight="1" s="29"/>
    <row r="547" ht="15.75" customHeight="1" s="29"/>
    <row r="548" ht="15.75" customHeight="1" s="29"/>
    <row r="549" ht="15.75" customHeight="1" s="29"/>
    <row r="550" ht="15.75" customHeight="1" s="29"/>
    <row r="551" ht="15.75" customHeight="1" s="29"/>
    <row r="552" ht="15.75" customHeight="1" s="29"/>
    <row r="553" ht="15.75" customHeight="1" s="29"/>
    <row r="554" ht="15.75" customHeight="1" s="29"/>
    <row r="555" ht="15.75" customHeight="1" s="29"/>
    <row r="556" ht="15.75" customHeight="1" s="29"/>
    <row r="557" ht="15.75" customHeight="1" s="29"/>
    <row r="558" ht="15.75" customHeight="1" s="29"/>
    <row r="559" ht="15.75" customHeight="1" s="29"/>
    <row r="560" ht="15.75" customHeight="1" s="29"/>
    <row r="561" ht="15.75" customHeight="1" s="29"/>
    <row r="562" ht="15.75" customHeight="1" s="29"/>
    <row r="563" ht="15.75" customHeight="1" s="29"/>
    <row r="564" ht="15.75" customHeight="1" s="29"/>
    <row r="565" ht="15.75" customHeight="1" s="29"/>
    <row r="566" ht="15.75" customHeight="1" s="29"/>
    <row r="567" ht="15.75" customHeight="1" s="29"/>
    <row r="568" ht="15.75" customHeight="1" s="29"/>
    <row r="569" ht="15.75" customHeight="1" s="29"/>
    <row r="570" ht="15.75" customHeight="1" s="29"/>
    <row r="571" ht="15.75" customHeight="1" s="29"/>
    <row r="572" ht="15.75" customHeight="1" s="29"/>
    <row r="573" ht="15.75" customHeight="1" s="29"/>
    <row r="574" ht="15.75" customHeight="1" s="29"/>
    <row r="575" ht="15.75" customHeight="1" s="29"/>
    <row r="576" ht="15.75" customHeight="1" s="29"/>
    <row r="577" ht="15.75" customHeight="1" s="29"/>
    <row r="578" ht="15.75" customHeight="1" s="29"/>
    <row r="579" ht="15.75" customHeight="1" s="29"/>
    <row r="580" ht="15.75" customHeight="1" s="29"/>
    <row r="581" ht="15.75" customHeight="1" s="29"/>
    <row r="582" ht="15.75" customHeight="1" s="29"/>
    <row r="583" ht="15.75" customHeight="1" s="29"/>
    <row r="584" ht="15.75" customHeight="1" s="29"/>
    <row r="585" ht="15.75" customHeight="1" s="29"/>
    <row r="586" ht="15.75" customHeight="1" s="29"/>
    <row r="587" ht="15.75" customHeight="1" s="29"/>
    <row r="588" ht="15.75" customHeight="1" s="29"/>
    <row r="589" ht="15.75" customHeight="1" s="29"/>
    <row r="590" ht="15.75" customHeight="1" s="29"/>
    <row r="591" ht="15.75" customHeight="1" s="29"/>
    <row r="592" ht="15.75" customHeight="1" s="29"/>
    <row r="593" ht="15.75" customHeight="1" s="29"/>
    <row r="594" ht="15.75" customHeight="1" s="29"/>
    <row r="595" ht="15.75" customHeight="1" s="29"/>
    <row r="596" ht="15.75" customHeight="1" s="29"/>
    <row r="597" ht="15.75" customHeight="1" s="29"/>
    <row r="598" ht="15.75" customHeight="1" s="29"/>
    <row r="599" ht="15.75" customHeight="1" s="29"/>
    <row r="600" ht="15.75" customHeight="1" s="29"/>
    <row r="601" ht="15.75" customHeight="1" s="29"/>
    <row r="602" ht="15.75" customHeight="1" s="29"/>
    <row r="603" ht="15.75" customHeight="1" s="29"/>
    <row r="604" ht="15.75" customHeight="1" s="29"/>
    <row r="605" ht="15.75" customHeight="1" s="29"/>
    <row r="606" ht="15.75" customHeight="1" s="29"/>
    <row r="607" ht="15.75" customHeight="1" s="29"/>
    <row r="608" ht="15.75" customHeight="1" s="29"/>
    <row r="609" ht="15.75" customHeight="1" s="29"/>
    <row r="610" ht="15.75" customHeight="1" s="29"/>
    <row r="611" ht="15.75" customHeight="1" s="29"/>
    <row r="612" ht="15.75" customHeight="1" s="29"/>
    <row r="613" ht="15.75" customHeight="1" s="29"/>
    <row r="614" ht="15.75" customHeight="1" s="29"/>
    <row r="615" ht="15.75" customHeight="1" s="29"/>
    <row r="616" ht="15.75" customHeight="1" s="29"/>
    <row r="617" ht="15.75" customHeight="1" s="29"/>
    <row r="618" ht="15.75" customHeight="1" s="29"/>
    <row r="619" ht="15.75" customHeight="1" s="29"/>
    <row r="620" ht="15.75" customHeight="1" s="29"/>
    <row r="621" ht="15.75" customHeight="1" s="29"/>
    <row r="622" ht="15.75" customHeight="1" s="29"/>
    <row r="623" ht="15.75" customHeight="1" s="29"/>
    <row r="624" ht="15.75" customHeight="1" s="29"/>
    <row r="625" ht="15.75" customHeight="1" s="29"/>
    <row r="626" ht="15.75" customHeight="1" s="29"/>
    <row r="627" ht="15.75" customHeight="1" s="29"/>
    <row r="628" ht="15.75" customHeight="1" s="29"/>
    <row r="629" ht="15.75" customHeight="1" s="29"/>
    <row r="630" ht="15.75" customHeight="1" s="29"/>
    <row r="631" ht="15.75" customHeight="1" s="29"/>
    <row r="632" ht="15.75" customHeight="1" s="29"/>
    <row r="633" ht="15.75" customHeight="1" s="29"/>
    <row r="634" ht="15.75" customHeight="1" s="29"/>
    <row r="635" ht="15.75" customHeight="1" s="29"/>
    <row r="636" ht="15.75" customHeight="1" s="29"/>
    <row r="637" ht="15.75" customHeight="1" s="29"/>
    <row r="638" ht="15.75" customHeight="1" s="29"/>
    <row r="639" ht="15.75" customHeight="1" s="29"/>
    <row r="640" ht="15.75" customHeight="1" s="29"/>
    <row r="641" ht="15.75" customHeight="1" s="29"/>
    <row r="642" ht="15.75" customHeight="1" s="29"/>
    <row r="643" ht="15.75" customHeight="1" s="29"/>
    <row r="644" ht="15.75" customHeight="1" s="29"/>
    <row r="645" ht="15.75" customHeight="1" s="29"/>
    <row r="646" ht="15.75" customHeight="1" s="29"/>
    <row r="647" ht="15.75" customHeight="1" s="29"/>
    <row r="648" ht="15.75" customHeight="1" s="29"/>
    <row r="649" ht="15.75" customHeight="1" s="29"/>
    <row r="650" ht="15.75" customHeight="1" s="29"/>
    <row r="651" ht="15.75" customHeight="1" s="29"/>
    <row r="652" ht="15.75" customHeight="1" s="29"/>
    <row r="653" ht="15.75" customHeight="1" s="29"/>
    <row r="654" ht="15.75" customHeight="1" s="29"/>
    <row r="655" ht="15.75" customHeight="1" s="29"/>
    <row r="656" ht="15.75" customHeight="1" s="29"/>
    <row r="657" ht="15.75" customHeight="1" s="29"/>
    <row r="658" ht="15.75" customHeight="1" s="29"/>
    <row r="659" ht="15.75" customHeight="1" s="29"/>
    <row r="660" ht="15.75" customHeight="1" s="29"/>
    <row r="661" ht="15.75" customHeight="1" s="29"/>
    <row r="662" ht="15.75" customHeight="1" s="29"/>
    <row r="663" ht="15.75" customHeight="1" s="29"/>
    <row r="664" ht="15.75" customHeight="1" s="29"/>
    <row r="665" ht="15.75" customHeight="1" s="29"/>
    <row r="666" ht="15.75" customHeight="1" s="29"/>
    <row r="667" ht="15.75" customHeight="1" s="29"/>
    <row r="668" ht="15.75" customHeight="1" s="29"/>
    <row r="669" ht="15.75" customHeight="1" s="29"/>
    <row r="670" ht="15.75" customHeight="1" s="29"/>
    <row r="671" ht="15.75" customHeight="1" s="29"/>
    <row r="672" ht="15.75" customHeight="1" s="29"/>
    <row r="673" ht="15.75" customHeight="1" s="29"/>
    <row r="674" ht="15.75" customHeight="1" s="29"/>
    <row r="675" ht="15.75" customHeight="1" s="29"/>
    <row r="676" ht="15.75" customHeight="1" s="29"/>
    <row r="677" ht="15.75" customHeight="1" s="29"/>
    <row r="678" ht="15.75" customHeight="1" s="29"/>
    <row r="679" ht="15.75" customHeight="1" s="29"/>
    <row r="680" ht="15.75" customHeight="1" s="29"/>
    <row r="681" ht="15.75" customHeight="1" s="29"/>
    <row r="682" ht="15.75" customHeight="1" s="29"/>
    <row r="683" ht="15.75" customHeight="1" s="29"/>
    <row r="684" ht="15.75" customHeight="1" s="29"/>
    <row r="685" ht="15.75" customHeight="1" s="29"/>
    <row r="686" ht="15.75" customHeight="1" s="29"/>
    <row r="687" ht="15.75" customHeight="1" s="29"/>
    <row r="688" ht="15.75" customHeight="1" s="29"/>
    <row r="689" ht="15.75" customHeight="1" s="29"/>
    <row r="690" ht="15.75" customHeight="1" s="29"/>
    <row r="691" ht="15.75" customHeight="1" s="29"/>
    <row r="692" ht="15.75" customHeight="1" s="29"/>
    <row r="693" ht="15.75" customHeight="1" s="29"/>
    <row r="694" ht="15.75" customHeight="1" s="29"/>
    <row r="695" ht="15.75" customHeight="1" s="29"/>
    <row r="696" ht="15.75" customHeight="1" s="29"/>
    <row r="697" ht="15.75" customHeight="1" s="29"/>
    <row r="698" ht="15.75" customHeight="1" s="29"/>
    <row r="699" ht="15.75" customHeight="1" s="29"/>
    <row r="700" ht="15.75" customHeight="1" s="29"/>
    <row r="701" ht="15.75" customHeight="1" s="29"/>
    <row r="702" ht="15.75" customHeight="1" s="29"/>
    <row r="703" ht="15.75" customHeight="1" s="29"/>
    <row r="704" ht="15.75" customHeight="1" s="29"/>
    <row r="705" ht="15.75" customHeight="1" s="29"/>
    <row r="706" ht="15.75" customHeight="1" s="29"/>
    <row r="707" ht="15.75" customHeight="1" s="29"/>
    <row r="708" ht="15.75" customHeight="1" s="29"/>
    <row r="709" ht="15.75" customHeight="1" s="29"/>
    <row r="710" ht="15.75" customHeight="1" s="29"/>
    <row r="711" ht="15.75" customHeight="1" s="29"/>
    <row r="712" ht="15.75" customHeight="1" s="29"/>
    <row r="713" ht="15.75" customHeight="1" s="29"/>
    <row r="714" ht="15.75" customHeight="1" s="29"/>
    <row r="715" ht="15.75" customHeight="1" s="29"/>
    <row r="716" ht="15.75" customHeight="1" s="29"/>
    <row r="717" ht="15.75" customHeight="1" s="29"/>
    <row r="718" ht="15.75" customHeight="1" s="29"/>
    <row r="719" ht="15.75" customHeight="1" s="29"/>
    <row r="720" ht="15.75" customHeight="1" s="29"/>
    <row r="721" ht="15.75" customHeight="1" s="29"/>
    <row r="722" ht="15.75" customHeight="1" s="29"/>
    <row r="723" ht="15.75" customHeight="1" s="29"/>
    <row r="724" ht="15.75" customHeight="1" s="29"/>
    <row r="725" ht="15.75" customHeight="1" s="29"/>
    <row r="726" ht="15.75" customHeight="1" s="29"/>
    <row r="727" ht="15.75" customHeight="1" s="29"/>
    <row r="728" ht="15.75" customHeight="1" s="29"/>
    <row r="729" ht="15.75" customHeight="1" s="29"/>
    <row r="730" ht="15.75" customHeight="1" s="29"/>
    <row r="731" ht="15.75" customHeight="1" s="29"/>
    <row r="732" ht="15.75" customHeight="1" s="29"/>
    <row r="733" ht="15.75" customHeight="1" s="29"/>
    <row r="734" ht="15.75" customHeight="1" s="29"/>
    <row r="735" ht="15.75" customHeight="1" s="29"/>
    <row r="736" ht="15.75" customHeight="1" s="29"/>
    <row r="737" ht="15.75" customHeight="1" s="29"/>
    <row r="738" ht="15.75" customHeight="1" s="29"/>
    <row r="739" ht="15.75" customHeight="1" s="29"/>
    <row r="740" ht="15.75" customHeight="1" s="29"/>
    <row r="741" ht="15.75" customHeight="1" s="29"/>
    <row r="742" ht="15.75" customHeight="1" s="29"/>
    <row r="743" ht="15.75" customHeight="1" s="29"/>
    <row r="744" ht="15.75" customHeight="1" s="29"/>
    <row r="745" ht="15.75" customHeight="1" s="29"/>
    <row r="746" ht="15.75" customHeight="1" s="29"/>
    <row r="747" ht="15.75" customHeight="1" s="29"/>
    <row r="748" ht="15.75" customHeight="1" s="29"/>
    <row r="749" ht="15.75" customHeight="1" s="29"/>
    <row r="750" ht="15.75" customHeight="1" s="29"/>
    <row r="751" ht="15.75" customHeight="1" s="29"/>
    <row r="752" ht="15.75" customHeight="1" s="29"/>
    <row r="753" ht="15.75" customHeight="1" s="29"/>
    <row r="754" ht="15.75" customHeight="1" s="29"/>
    <row r="755" ht="15.75" customHeight="1" s="29"/>
    <row r="756" ht="15.75" customHeight="1" s="29"/>
    <row r="757" ht="15.75" customHeight="1" s="29"/>
    <row r="758" ht="15.75" customHeight="1" s="29"/>
    <row r="759" ht="15.75" customHeight="1" s="29"/>
    <row r="760" ht="15.75" customHeight="1" s="29"/>
    <row r="761" ht="15.75" customHeight="1" s="29"/>
    <row r="762" ht="15.75" customHeight="1" s="29"/>
    <row r="763" ht="15.75" customHeight="1" s="29"/>
    <row r="764" ht="15.75" customHeight="1" s="29"/>
    <row r="765" ht="15.75" customHeight="1" s="29"/>
    <row r="766" ht="15.75" customHeight="1" s="29"/>
    <row r="767" ht="15.75" customHeight="1" s="29"/>
    <row r="768" ht="15.75" customHeight="1" s="29"/>
    <row r="769" ht="15.75" customHeight="1" s="29"/>
    <row r="770" ht="15.75" customHeight="1" s="29"/>
    <row r="771" ht="15.75" customHeight="1" s="29"/>
    <row r="772" ht="15.75" customHeight="1" s="29"/>
    <row r="773" ht="15.75" customHeight="1" s="29"/>
    <row r="774" ht="15.75" customHeight="1" s="29"/>
    <row r="775" ht="15.75" customHeight="1" s="29"/>
    <row r="776" ht="15.75" customHeight="1" s="29"/>
    <row r="777" ht="15.75" customHeight="1" s="29"/>
    <row r="778" ht="15.75" customHeight="1" s="29"/>
    <row r="779" ht="15.75" customHeight="1" s="29"/>
    <row r="780" ht="15.75" customHeight="1" s="29"/>
    <row r="781" ht="15.75" customHeight="1" s="29"/>
    <row r="782" ht="15.75" customHeight="1" s="29"/>
    <row r="783" ht="15.75" customHeight="1" s="29"/>
    <row r="784" ht="15.75" customHeight="1" s="29"/>
    <row r="785" ht="15.75" customHeight="1" s="29"/>
    <row r="786" ht="15.75" customHeight="1" s="29"/>
    <row r="787" ht="15.75" customHeight="1" s="29"/>
    <row r="788" ht="15.75" customHeight="1" s="29"/>
    <row r="789" ht="15.75" customHeight="1" s="29"/>
    <row r="790" ht="15.75" customHeight="1" s="29"/>
    <row r="791" ht="15.75" customHeight="1" s="29"/>
    <row r="792" ht="15.75" customHeight="1" s="29"/>
    <row r="793" ht="15.75" customHeight="1" s="29"/>
    <row r="794" ht="15.75" customHeight="1" s="29"/>
    <row r="795" ht="15.75" customHeight="1" s="29"/>
    <row r="796" ht="15.75" customHeight="1" s="29"/>
    <row r="797" ht="15.75" customHeight="1" s="29"/>
    <row r="798" ht="15.75" customHeight="1" s="29"/>
    <row r="799" ht="15.75" customHeight="1" s="29"/>
    <row r="800" ht="15.75" customHeight="1" s="29"/>
    <row r="801" ht="15.75" customHeight="1" s="29"/>
    <row r="802" ht="15.75" customHeight="1" s="29"/>
    <row r="803" ht="15.75" customHeight="1" s="29"/>
    <row r="804" ht="15.75" customHeight="1" s="29"/>
    <row r="805" ht="15.75" customHeight="1" s="29"/>
    <row r="806" ht="15.75" customHeight="1" s="29"/>
    <row r="807" ht="15.75" customHeight="1" s="29"/>
    <row r="808" ht="15.75" customHeight="1" s="29"/>
    <row r="809" ht="15.75" customHeight="1" s="29"/>
    <row r="810" ht="15.75" customHeight="1" s="29"/>
    <row r="811" ht="15.75" customHeight="1" s="29"/>
    <row r="812" ht="15.75" customHeight="1" s="29"/>
    <row r="813" ht="15.75" customHeight="1" s="29"/>
    <row r="814" ht="15.75" customHeight="1" s="29"/>
    <row r="815" ht="15.75" customHeight="1" s="29"/>
    <row r="816" ht="15.75" customHeight="1" s="29"/>
    <row r="817" ht="15.75" customHeight="1" s="29"/>
    <row r="818" ht="15.75" customHeight="1" s="29"/>
    <row r="819" ht="15.75" customHeight="1" s="29"/>
    <row r="820" ht="15.75" customHeight="1" s="29"/>
    <row r="821" ht="15.75" customHeight="1" s="29"/>
    <row r="822" ht="15.75" customHeight="1" s="29"/>
    <row r="823" ht="15.75" customHeight="1" s="29"/>
    <row r="824" ht="15.75" customHeight="1" s="29"/>
    <row r="825" ht="15.75" customHeight="1" s="29"/>
    <row r="826" ht="15.75" customHeight="1" s="29"/>
    <row r="827" ht="15.75" customHeight="1" s="29"/>
    <row r="828" ht="15.75" customHeight="1" s="29"/>
    <row r="829" ht="15.75" customHeight="1" s="29"/>
    <row r="830" ht="15.75" customHeight="1" s="29"/>
    <row r="831" ht="15.75" customHeight="1" s="29"/>
    <row r="832" ht="15.75" customHeight="1" s="29"/>
    <row r="833" ht="15.75" customHeight="1" s="29"/>
    <row r="834" ht="15.75" customHeight="1" s="29"/>
    <row r="835" ht="15.75" customHeight="1" s="29"/>
    <row r="836" ht="15.75" customHeight="1" s="29"/>
    <row r="837" ht="15.75" customHeight="1" s="29"/>
    <row r="838" ht="15.75" customHeight="1" s="29"/>
    <row r="839" ht="15.75" customHeight="1" s="29"/>
    <row r="840" ht="15.75" customHeight="1" s="29"/>
    <row r="841" ht="15.75" customHeight="1" s="29"/>
    <row r="842" ht="15.75" customHeight="1" s="29"/>
    <row r="843" ht="15.75" customHeight="1" s="29"/>
    <row r="844" ht="15.75" customHeight="1" s="29"/>
    <row r="845" ht="15.75" customHeight="1" s="29"/>
    <row r="846" ht="15.75" customHeight="1" s="29"/>
    <row r="847" ht="15.75" customHeight="1" s="29"/>
    <row r="848" ht="15.75" customHeight="1" s="29"/>
    <row r="849" ht="15.75" customHeight="1" s="29"/>
    <row r="850" ht="15.75" customHeight="1" s="29"/>
    <row r="851" ht="15.75" customHeight="1" s="29"/>
    <row r="852" ht="15.75" customHeight="1" s="29"/>
    <row r="853" ht="15.75" customHeight="1" s="29"/>
    <row r="854" ht="15.75" customHeight="1" s="29"/>
    <row r="855" ht="15.75" customHeight="1" s="29"/>
    <row r="856" ht="15.75" customHeight="1" s="29"/>
    <row r="857" ht="15.75" customHeight="1" s="29"/>
    <row r="858" ht="15.75" customHeight="1" s="29"/>
    <row r="859" ht="15.75" customHeight="1" s="29"/>
    <row r="860" ht="15.75" customHeight="1" s="29"/>
    <row r="861" ht="15.75" customHeight="1" s="29"/>
    <row r="862" ht="15.75" customHeight="1" s="29"/>
    <row r="863" ht="15.75" customHeight="1" s="29"/>
    <row r="864" ht="15.75" customHeight="1" s="29"/>
    <row r="865" ht="15.75" customHeight="1" s="29"/>
    <row r="866" ht="15.75" customHeight="1" s="29"/>
    <row r="867" ht="15.75" customHeight="1" s="29"/>
    <row r="868" ht="15.75" customHeight="1" s="29"/>
    <row r="869" ht="15.75" customHeight="1" s="29"/>
    <row r="870" ht="15.75" customHeight="1" s="29"/>
    <row r="871" ht="15.75" customHeight="1" s="29"/>
    <row r="872" ht="15.75" customHeight="1" s="29"/>
    <row r="873" ht="15.75" customHeight="1" s="29"/>
    <row r="874" ht="15.75" customHeight="1" s="29"/>
    <row r="875" ht="15.75" customHeight="1" s="29"/>
    <row r="876" ht="15.75" customHeight="1" s="29"/>
    <row r="877" ht="15.75" customHeight="1" s="29"/>
    <row r="878" ht="15.75" customHeight="1" s="29"/>
    <row r="879" ht="15.75" customHeight="1" s="29"/>
    <row r="880" ht="15.75" customHeight="1" s="29"/>
    <row r="881" ht="15.75" customHeight="1" s="29"/>
    <row r="882" ht="15.75" customHeight="1" s="29"/>
    <row r="883" ht="15.75" customHeight="1" s="29"/>
    <row r="884" ht="15.75" customHeight="1" s="29"/>
    <row r="885" ht="15.75" customHeight="1" s="29"/>
    <row r="886" ht="15.75" customHeight="1" s="29"/>
    <row r="887" ht="15.75" customHeight="1" s="29"/>
    <row r="888" ht="15.75" customHeight="1" s="29"/>
    <row r="889" ht="15.75" customHeight="1" s="29"/>
    <row r="890" ht="15.75" customHeight="1" s="29"/>
    <row r="891" ht="15.75" customHeight="1" s="29"/>
    <row r="892" ht="15.75" customHeight="1" s="29"/>
    <row r="893" ht="15.75" customHeight="1" s="29"/>
    <row r="894" ht="15.75" customHeight="1" s="29"/>
    <row r="895" ht="15.75" customHeight="1" s="29"/>
    <row r="896" ht="15.75" customHeight="1" s="29"/>
    <row r="897" ht="15.75" customHeight="1" s="29"/>
    <row r="898" ht="15.75" customHeight="1" s="29"/>
    <row r="899" ht="15.75" customHeight="1" s="29"/>
    <row r="900" ht="15.75" customHeight="1" s="29"/>
    <row r="901" ht="15.75" customHeight="1" s="29"/>
    <row r="902" ht="15.75" customHeight="1" s="29"/>
    <row r="903" ht="15.75" customHeight="1" s="29"/>
    <row r="904" ht="15.75" customHeight="1" s="29"/>
    <row r="905" ht="15.75" customHeight="1" s="29"/>
    <row r="906" ht="15.75" customHeight="1" s="29"/>
    <row r="907" ht="15.75" customHeight="1" s="29"/>
    <row r="908" ht="15.75" customHeight="1" s="29"/>
    <row r="909" ht="15.75" customHeight="1" s="29"/>
    <row r="910" ht="15.75" customHeight="1" s="29"/>
    <row r="911" ht="15.75" customHeight="1" s="29"/>
    <row r="912" ht="15.75" customHeight="1" s="29"/>
    <row r="913" ht="15.75" customHeight="1" s="29"/>
    <row r="914" ht="15.75" customHeight="1" s="29"/>
    <row r="915" ht="15.75" customHeight="1" s="29"/>
    <row r="916" ht="15.75" customHeight="1" s="29"/>
    <row r="917" ht="15.75" customHeight="1" s="29"/>
    <row r="918" ht="15.75" customHeight="1" s="29"/>
    <row r="919" ht="15.75" customHeight="1" s="29"/>
    <row r="920" ht="15.75" customHeight="1" s="29"/>
    <row r="921" ht="15.75" customHeight="1" s="29"/>
    <row r="922" ht="15.75" customHeight="1" s="29"/>
    <row r="923" ht="15.75" customHeight="1" s="29"/>
    <row r="924" ht="15.75" customHeight="1" s="29"/>
    <row r="925" ht="15.75" customHeight="1" s="29"/>
    <row r="926" ht="15.75" customHeight="1" s="29"/>
    <row r="927" ht="15.75" customHeight="1" s="29"/>
    <row r="928" ht="15.75" customHeight="1" s="29"/>
    <row r="929" ht="15.75" customHeight="1" s="29"/>
    <row r="930" ht="15.75" customHeight="1" s="29"/>
    <row r="931" ht="15.75" customHeight="1" s="29"/>
    <row r="932" ht="15.75" customHeight="1" s="29"/>
    <row r="933" ht="15.75" customHeight="1" s="29"/>
    <row r="934" ht="15.75" customHeight="1" s="29"/>
    <row r="935" ht="15.75" customHeight="1" s="29"/>
    <row r="936" ht="15.75" customHeight="1" s="29"/>
    <row r="937" ht="15.75" customHeight="1" s="29"/>
    <row r="938" ht="15.75" customHeight="1" s="29"/>
    <row r="939" ht="15.75" customHeight="1" s="29"/>
    <row r="940" ht="15.75" customHeight="1" s="29"/>
    <row r="941" ht="15.75" customHeight="1" s="29"/>
    <row r="942" ht="15.75" customHeight="1" s="29"/>
    <row r="943" ht="15.75" customHeight="1" s="29"/>
    <row r="944" ht="15.75" customHeight="1" s="29"/>
    <row r="945" ht="15.75" customHeight="1" s="29"/>
    <row r="946" ht="15.75" customHeight="1" s="29"/>
    <row r="947" ht="15.75" customHeight="1" s="29"/>
    <row r="948" ht="15.75" customHeight="1" s="29"/>
    <row r="949" ht="15.75" customHeight="1" s="29"/>
    <row r="950" ht="15.75" customHeight="1" s="29"/>
    <row r="951" ht="15.75" customHeight="1" s="29"/>
    <row r="952" ht="15.75" customHeight="1" s="29"/>
    <row r="953" ht="15.75" customHeight="1" s="29"/>
    <row r="954" ht="15.75" customHeight="1" s="29"/>
    <row r="955" ht="15.75" customHeight="1" s="29"/>
    <row r="956" ht="15.75" customHeight="1" s="29"/>
    <row r="957" ht="15.75" customHeight="1" s="29"/>
    <row r="958" ht="15.75" customHeight="1" s="29"/>
    <row r="959" ht="15.75" customHeight="1" s="29"/>
    <row r="960" ht="15.75" customHeight="1" s="29"/>
    <row r="961" ht="15.75" customHeight="1" s="29"/>
    <row r="962" ht="15.75" customHeight="1" s="29"/>
    <row r="963" ht="15.75" customHeight="1" s="29"/>
    <row r="964" ht="15.75" customHeight="1" s="29"/>
    <row r="965" ht="15.75" customHeight="1" s="29"/>
    <row r="966" ht="15.75" customHeight="1" s="29"/>
    <row r="967" ht="15.75" customHeight="1" s="29"/>
    <row r="968" ht="15.75" customHeight="1" s="29"/>
    <row r="969" ht="15.75" customHeight="1" s="29"/>
    <row r="970" ht="15.75" customHeight="1" s="29"/>
    <row r="971" ht="15.75" customHeight="1" s="29"/>
    <row r="972" ht="15.75" customHeight="1" s="29"/>
    <row r="973" ht="15.75" customHeight="1" s="29"/>
    <row r="974" ht="15.75" customHeight="1" s="29"/>
    <row r="975" ht="15.75" customHeight="1" s="29"/>
    <row r="976" ht="15.75" customHeight="1" s="29"/>
    <row r="977" ht="15.75" customHeight="1" s="29"/>
    <row r="978" ht="15.75" customHeight="1" s="29"/>
    <row r="979" ht="15.75" customHeight="1" s="29"/>
    <row r="980" ht="15.75" customHeight="1" s="29"/>
    <row r="981" ht="15.75" customHeight="1" s="29"/>
    <row r="982" ht="15.75" customHeight="1" s="29"/>
    <row r="983" ht="15.75" customHeight="1" s="29"/>
    <row r="984" ht="15.75" customHeight="1" s="29"/>
    <row r="985" ht="15.75" customHeight="1" s="29"/>
    <row r="986" ht="15.75" customHeight="1" s="29"/>
    <row r="987" ht="15.75" customHeight="1" s="29"/>
    <row r="988" ht="15.75" customHeight="1" s="29"/>
    <row r="989" ht="15.75" customHeight="1" s="29"/>
    <row r="990" ht="15.75" customHeight="1" s="29"/>
    <row r="991" ht="15.75" customHeight="1" s="29"/>
    <row r="992" ht="15.75" customHeight="1" s="29"/>
    <row r="993" ht="15.75" customHeight="1" s="29"/>
    <row r="994" ht="15.75" customHeight="1" s="29"/>
    <row r="995" ht="15.75" customHeight="1" s="29"/>
    <row r="996" ht="15.75" customHeight="1" s="29"/>
    <row r="997" ht="15.75" customHeight="1" s="29"/>
    <row r="998" ht="15.75" customHeight="1" s="29"/>
    <row r="999" ht="15.75" customHeight="1" s="29"/>
    <row r="1000" ht="15.75" customHeight="1" s="29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2026-10-17T18:01:09Z</dcterms:created>
  <dcterms:modified xmlns:dcterms="http://purl.org/dc/terms/" xmlns:xsi="http://www.w3.org/2001/XMLSchema-instance" xsi:type="dcterms:W3CDTF">2026-10-24T18:12:45Z</dcterms:modified>
</cp:coreProperties>
</file>