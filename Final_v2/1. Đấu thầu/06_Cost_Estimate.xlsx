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_Gia_Du_Thau" sheetId="1" state="visible" r:id="rId1"/>
    <sheet xmlns:r="http://schemas.openxmlformats.org/officeDocument/2006/relationships" name="Du_Toan_Chi_Tiet" sheetId="2" state="visible" r:id="rId2"/>
    <sheet xmlns:r="http://schemas.openxmlformats.org/officeDocument/2006/relationships" name="Phan_Bo_Gio_Co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VNĐ&quot;"/>
    <numFmt numFmtId="165" formatCode="#,##0&quot; giờ&quot;"/>
    <numFmt numFmtId="166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1F497D"/>
      <sz val="12"/>
    </font>
    <font>
      <name val="Calibri"/>
      <i val="1"/>
      <color rgb="00595959"/>
      <sz val="10"/>
    </font>
    <font>
      <name val="Calibri"/>
      <b val="1"/>
      <color rgb="00FFFFFF"/>
      <sz val="12"/>
    </font>
    <font>
      <name val="Calibri"/>
      <b val="1"/>
      <color rgb="001F497D"/>
      <sz val="11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366092"/>
        <bgColor rgb="00366092"/>
      </patternFill>
    </fill>
    <fill>
      <patternFill patternType="solid">
        <fgColor rgb="002F5496"/>
        <bgColor rgb="002F5496"/>
      </patternFill>
    </fill>
    <fill>
      <patternFill patternType="solid">
        <fgColor rgb="00D9E1F2"/>
        <bgColor rgb="00D9E1F2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97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1F497D"/>
      </top>
      <bottom style="double">
        <color rgb="001F497D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164" fontId="4" fillId="3" borderId="2" applyAlignment="1" pivotButton="0" quotePrefix="0" xfId="0">
      <alignment horizontal="right" vertical="center"/>
    </xf>
    <xf numFmtId="0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right" vertical="center"/>
    </xf>
    <xf numFmtId="0" fontId="0" fillId="0" borderId="3" pivotButton="0" quotePrefix="0" xfId="0"/>
    <xf numFmtId="164" fontId="6" fillId="5" borderId="3" applyAlignment="1" pivotButton="0" quotePrefix="0" xfId="0">
      <alignment horizontal="right" vertical="center"/>
    </xf>
    <xf numFmtId="0" fontId="5" fillId="0" borderId="0" pivotButton="0" quotePrefix="0" xfId="0"/>
    <xf numFmtId="0" fontId="7" fillId="0" borderId="0" pivotButton="0" quotePrefix="0" xfId="0"/>
    <xf numFmtId="0" fontId="8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3" fillId="7" borderId="1" applyAlignment="1" pivotButton="0" quotePrefix="0" xfId="0">
      <alignment horizontal="center" vertical="center"/>
    </xf>
    <xf numFmtId="3" fontId="4" fillId="3" borderId="2" applyAlignment="1" pivotButton="0" quotePrefix="0" xfId="0">
      <alignment horizontal="center" vertical="center"/>
    </xf>
    <xf numFmtId="165" fontId="4" fillId="3" borderId="2" applyAlignment="1" pivotButton="0" quotePrefix="0" xfId="0">
      <alignment horizontal="right" vertical="center"/>
    </xf>
    <xf numFmtId="164" fontId="4" fillId="5" borderId="2" applyAlignment="1" pivotButton="0" quotePrefix="0" xfId="0">
      <alignment horizontal="right" vertical="center"/>
    </xf>
    <xf numFmtId="0" fontId="5" fillId="0" borderId="3" pivotButton="0" quotePrefix="0" xfId="0"/>
    <xf numFmtId="3" fontId="5" fillId="0" borderId="3" applyAlignment="1" pivotButton="0" quotePrefix="0" xfId="0">
      <alignment horizontal="center" vertical="center"/>
    </xf>
    <xf numFmtId="165" fontId="5" fillId="0" borderId="3" applyAlignment="1" pivotButton="0" quotePrefix="0" xfId="0">
      <alignment horizontal="right" vertical="center"/>
    </xf>
    <xf numFmtId="164" fontId="5" fillId="5" borderId="3" applyAlignment="1" pivotButton="0" quotePrefix="0" xfId="0">
      <alignment horizontal="right" vertical="center"/>
    </xf>
    <xf numFmtId="166" fontId="4" fillId="3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pivotButton="0" quotePrefix="0" xfId="0"/>
    <xf numFmtId="164" fontId="5" fillId="3" borderId="2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0" fillId="0" borderId="2" pivotButton="0" quotePrefix="0" xfId="0"/>
    <xf numFmtId="164" fontId="4" fillId="0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/>
    </xf>
    <xf numFmtId="164" fontId="9" fillId="5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right" vertical="center"/>
    </xf>
    <xf numFmtId="164" fontId="9" fillId="5" borderId="3" applyAlignment="1" pivotButton="0" quotePrefix="0" xfId="0">
      <alignment horizontal="right" vertical="center"/>
    </xf>
    <xf numFmtId="165" fontId="4" fillId="5" borderId="2" applyAlignment="1" pivotButton="0" quotePrefix="0" xfId="0">
      <alignment horizontal="right" vertical="center"/>
    </xf>
    <xf numFmtId="165" fontId="4" fillId="4" borderId="2" applyAlignment="1" pivotButton="0" quotePrefix="0" xfId="0">
      <alignment horizontal="right" vertical="center"/>
    </xf>
    <xf numFmtId="165" fontId="5" fillId="5" borderId="3" applyAlignment="1" pivotButton="0" quotePrefix="0" xfId="0">
      <alignment horizontal="right" vertical="center"/>
    </xf>
    <xf numFmtId="0" fontId="5" fillId="8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55" customWidth="1" min="3" max="3"/>
    <col width="14" customWidth="1" min="4" max="4"/>
    <col width="14" customWidth="1" min="5" max="5"/>
    <col width="28" customWidth="1" min="6" max="6"/>
  </cols>
  <sheetData>
    <row r="1">
      <c r="A1" s="1" t="inlineStr">
        <is>
          <t>BẢNG TỔNG HỢP GIÁ DỰ THẦU CHÍNH THỨC</t>
        </is>
      </c>
    </row>
    <row r="2">
      <c r="A2" s="2" t="inlineStr">
        <is>
          <t>Dự án: Xây dựng hệ thống kênh bán hàng qua Internet cho chuỗi cửa hàng ABC Wear</t>
        </is>
      </c>
    </row>
    <row r="3">
      <c r="A3" s="2" t="inlineStr">
        <is>
          <t>Gói thầu: ABC-WSS-PM_26I_09 | Nhà thầu: Nhóm 09 - 20261</t>
        </is>
      </c>
    </row>
    <row r="4"/>
    <row r="5" ht="28" customHeight="1">
      <c r="A5" s="3" t="inlineStr">
        <is>
          <t>STT</t>
        </is>
      </c>
      <c r="B5" s="3" t="inlineStr">
        <is>
          <t>Danh mục dịch vụ</t>
        </is>
      </c>
      <c r="C5" s="3" t="inlineStr">
        <is>
          <t>Mô tả dịch vụ</t>
        </is>
      </c>
      <c r="D5" s="3" t="inlineStr">
        <is>
          <t>Khối lượng</t>
        </is>
      </c>
      <c r="E5" s="3" t="inlineStr">
        <is>
          <t>Đơn vị tính</t>
        </is>
      </c>
      <c r="F5" s="3" t="inlineStr">
        <is>
          <t>Thành tiền (Đã gồm VAT)</t>
        </is>
      </c>
    </row>
    <row r="6" ht="24" customHeight="1">
      <c r="A6" s="4" t="n">
        <v>1</v>
      </c>
      <c r="B6" s="5" t="inlineStr">
        <is>
          <t>Phân tích hệ thống</t>
        </is>
      </c>
      <c r="C6" s="6" t="inlineStr">
        <is>
          <t>Phân tích nghiệp vụ kênh bán hàng trực tuyến, đặc tả yêu cầu chức năng, phi chức năng và xây dựng Product Backlog</t>
        </is>
      </c>
      <c r="D6" s="4" t="n">
        <v>1</v>
      </c>
      <c r="E6" s="4" t="inlineStr">
        <is>
          <t>Bộ</t>
        </is>
      </c>
      <c r="F6" s="7" t="n">
        <v>130000000</v>
      </c>
    </row>
    <row r="7" ht="24" customHeight="1">
      <c r="A7" s="8" t="n">
        <v>2</v>
      </c>
      <c r="B7" s="9" t="inlineStr">
        <is>
          <t>Thiết kế và phát triển Web Selling Site System</t>
        </is>
      </c>
      <c r="C7" s="10" t="inlineStr">
        <is>
          <t>Thiết kế, lập trình Web Selling Site: tìm kiếm sản phẩm, thành viên, đặt hàng, thanh toán, Selling DB; sẵn sàng 24/7; đáp ứng ≤ 2s</t>
        </is>
      </c>
      <c r="D7" s="8" t="n">
        <v>1</v>
      </c>
      <c r="E7" s="8" t="inlineStr">
        <is>
          <t>Hệ thống</t>
        </is>
      </c>
      <c r="F7" s="7" t="n">
        <v>530000000</v>
      </c>
    </row>
    <row r="8" ht="24" customHeight="1">
      <c r="A8" s="4" t="n">
        <v>3</v>
      </c>
      <c r="B8" s="5" t="inlineStr">
        <is>
          <t>Tích hợp Main System</t>
        </is>
      </c>
      <c r="C8" s="6" t="inlineStr">
        <is>
          <t>Kết nối bán hàng, sản phẩm, logistics và giao dịch với Main System; không làm chức năng quản trị nội bộ</t>
        </is>
      </c>
      <c r="D8" s="4" t="n">
        <v>1</v>
      </c>
      <c r="E8" s="4" t="inlineStr">
        <is>
          <t>Hệ thống</t>
        </is>
      </c>
      <c r="F8" s="7" t="n">
        <v>140000000</v>
      </c>
    </row>
    <row r="9" ht="24" customHeight="1">
      <c r="A9" s="8" t="n">
        <v>4</v>
      </c>
      <c r="B9" s="9" t="inlineStr">
        <is>
          <t>Kiểm thử vận hành</t>
        </is>
      </c>
      <c r="C9" s="10" t="inlineStr">
        <is>
          <t>SIT, hiệu năng, bảo mật, hồi quy và Operation Test; cut-over 01/07/2026</t>
        </is>
      </c>
      <c r="D9" s="8" t="n">
        <v>1</v>
      </c>
      <c r="E9" s="8" t="inlineStr">
        <is>
          <t>Bộ</t>
        </is>
      </c>
      <c r="F9" s="7" t="n">
        <v>230000000</v>
      </c>
    </row>
    <row r="10" ht="24" customHeight="1">
      <c r="A10" s="4" t="n">
        <v>5</v>
      </c>
      <c r="B10" s="5" t="inlineStr">
        <is>
          <t>Bàn giao sản phẩm</t>
        </is>
      </c>
      <c r="C10" s="6" t="inlineStr">
        <is>
          <t>Chuyển đổi dữ liệu, tài liệu, đào tạo, cut-over ngày 01/07/2026, hypercare 01 tháng và bảo hành 12 tháng</t>
        </is>
      </c>
      <c r="D10" s="4" t="n">
        <v>1</v>
      </c>
      <c r="E10" s="4" t="inlineStr">
        <is>
          <t>Hệ thống</t>
        </is>
      </c>
      <c r="F10" s="7" t="n">
        <v>122000000</v>
      </c>
    </row>
    <row r="11" ht="24" customHeight="1">
      <c r="A11" s="8" t="n">
        <v>6</v>
      </c>
      <c r="B11" s="9" t="inlineStr">
        <is>
          <t>Bảo hành / khắc phục sai sót</t>
        </is>
      </c>
      <c r="C11" s="10" t="inlineStr">
        <is>
          <t>Sửa lỗi logic và sự cố do nhà thầu trong 12 tháng sau nghiệm thu (Định mức hành chính)</t>
        </is>
      </c>
      <c r="D11" s="8" t="n">
        <v>12</v>
      </c>
      <c r="E11" s="8" t="inlineStr">
        <is>
          <t>Tháng</t>
        </is>
      </c>
      <c r="F11" s="7" t="n">
        <v>48000000</v>
      </c>
    </row>
    <row r="12" ht="28" customHeight="1">
      <c r="A12" s="11" t="inlineStr">
        <is>
          <t>TỔNG CỘNG GIÁ DỰ THẦU TRỌN GÓI (ĐÃ BAO GỒM VAT 10%):</t>
        </is>
      </c>
      <c r="B12" s="12" t="n"/>
      <c r="C12" s="12" t="n"/>
      <c r="D12" s="12" t="n"/>
      <c r="E12" s="12" t="n"/>
      <c r="F12" s="13">
        <f>SUM(F6:F11)</f>
        <v/>
      </c>
    </row>
    <row r="13"/>
    <row r="14">
      <c r="A14" s="14" t="inlineStr">
        <is>
          <t>Ghi chú:</t>
        </is>
      </c>
    </row>
    <row r="15">
      <c r="A15" s="15" t="inlineStr">
        <is>
          <t>1. Giá dự thầu trọn gói đã bao gồm đầy đủ thuế VAT 10%, phí, lệ phí và chi phí dự phòng rủi ro.</t>
        </is>
      </c>
    </row>
    <row r="16">
      <c r="A16" s="15" t="inlineStr">
        <is>
          <t>2. Tiến độ thực hiện cam kết: từ ngày 16/03/2026 đến 01/07/2026 (Cut-over &amp; Go-live ngày 01/07/2026).</t>
        </is>
      </c>
    </row>
  </sheetData>
  <mergeCells count="4">
    <mergeCell ref="A3:F3"/>
    <mergeCell ref="A2:F2"/>
    <mergeCell ref="A12:E1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38" customWidth="1" min="3" max="3"/>
    <col width="16" customWidth="1" min="4" max="4"/>
    <col width="18" customWidth="1" min="5" max="5"/>
    <col width="28" customWidth="1" min="6" max="6"/>
    <col width="32" customWidth="1" min="7" max="7"/>
  </cols>
  <sheetData>
    <row r="1">
      <c r="A1" s="1" t="inlineStr">
        <is>
          <t>BẢNG DỰ TOÁN CHI TIẾT CẤU THÀNH GIÁ DỰ THẦU</t>
        </is>
      </c>
    </row>
    <row r="2">
      <c r="A2" s="2" t="inlineStr">
        <is>
          <t>Căn cứ định mức 3.200 giờ công nhân sự, hạ tầng công cụ và quỹ dự phòng rủi ro</t>
        </is>
      </c>
    </row>
    <row r="3"/>
    <row r="4">
      <c r="A4" s="16" t="inlineStr">
        <is>
          <t>I. CHI PHÍ NHÂN CÔNG TRỰC TIẾP (3.200 GIỜ CÔNG / 12 NHÂN SỰ CHỦ CHỐT)</t>
        </is>
      </c>
      <c r="B4" s="17" t="n"/>
      <c r="C4" s="17" t="n"/>
      <c r="D4" s="17" t="n"/>
      <c r="E4" s="17" t="n"/>
      <c r="F4" s="17" t="n"/>
      <c r="G4" s="17" t="n"/>
    </row>
    <row r="5" ht="26" customHeight="1">
      <c r="A5" s="18" t="inlineStr">
        <is>
          <t>STT</t>
        </is>
      </c>
      <c r="B5" s="18" t="inlineStr">
        <is>
          <t>Vị trí / Vai trò nhân sự</t>
        </is>
      </c>
      <c r="C5" s="18" t="inlineStr">
        <is>
          <t>Mã vai trò</t>
        </is>
      </c>
      <c r="D5" s="18" t="inlineStr">
        <is>
          <t>Số lượng (Người)</t>
        </is>
      </c>
      <c r="E5" s="18" t="inlineStr">
        <is>
          <t>Định mức (Giờ)</t>
        </is>
      </c>
      <c r="F5" s="18" t="inlineStr">
        <is>
          <t>Đơn giá chưa thuế (VNĐ/giờ)</t>
        </is>
      </c>
      <c r="G5" s="18" t="inlineStr">
        <is>
          <t>Thành tiền chưa thuế (VNĐ)</t>
        </is>
      </c>
    </row>
    <row r="6" ht="22" customHeight="1">
      <c r="A6" s="4" t="n">
        <v>1</v>
      </c>
      <c r="B6" s="5" t="inlineStr">
        <is>
          <t>Quản lý dự án</t>
        </is>
      </c>
      <c r="C6" s="4" t="inlineStr">
        <is>
          <t>PM</t>
        </is>
      </c>
      <c r="D6" s="19" t="n">
        <v>1</v>
      </c>
      <c r="E6" s="20" t="n">
        <v>220</v>
      </c>
      <c r="F6" s="7" t="n">
        <v>360000</v>
      </c>
      <c r="G6" s="21">
        <f>E6*F6</f>
        <v/>
      </c>
    </row>
    <row r="7" ht="22" customHeight="1">
      <c r="A7" s="4" t="n">
        <v>2</v>
      </c>
      <c r="B7" s="5" t="inlineStr">
        <is>
          <t>Kiến trúc sư hệ thống</t>
        </is>
      </c>
      <c r="C7" s="4" t="inlineStr">
        <is>
          <t>SA</t>
        </is>
      </c>
      <c r="D7" s="19" t="n">
        <v>1</v>
      </c>
      <c r="E7" s="20" t="n">
        <v>180</v>
      </c>
      <c r="F7" s="7" t="n">
        <v>380000</v>
      </c>
      <c r="G7" s="21">
        <f>E7*F7</f>
        <v/>
      </c>
    </row>
    <row r="8" ht="22" customHeight="1">
      <c r="A8" s="4" t="n">
        <v>3</v>
      </c>
      <c r="B8" s="5" t="inlineStr">
        <is>
          <t>Chuyên viên phân tích nghiệp vụ</t>
        </is>
      </c>
      <c r="C8" s="4" t="inlineStr">
        <is>
          <t>BA</t>
        </is>
      </c>
      <c r="D8" s="19" t="n">
        <v>1</v>
      </c>
      <c r="E8" s="20" t="n">
        <v>250</v>
      </c>
      <c r="F8" s="7" t="n">
        <v>280000</v>
      </c>
      <c r="G8" s="21">
        <f>E8*F8</f>
        <v/>
      </c>
    </row>
    <row r="9" ht="22" customHeight="1">
      <c r="A9" s="4" t="n">
        <v>4</v>
      </c>
      <c r="B9" s="5" t="inlineStr">
        <is>
          <t>Chuyên viên thiết kế giao diện</t>
        </is>
      </c>
      <c r="C9" s="4" t="inlineStr">
        <is>
          <t>UX</t>
        </is>
      </c>
      <c r="D9" s="19" t="n">
        <v>1</v>
      </c>
      <c r="E9" s="20" t="n">
        <v>150</v>
      </c>
      <c r="F9" s="7" t="n">
        <v>240000</v>
      </c>
      <c r="G9" s="21">
        <f>E9*F9</f>
        <v/>
      </c>
    </row>
    <row r="10" ht="22" customHeight="1">
      <c r="A10" s="4" t="n">
        <v>5</v>
      </c>
      <c r="B10" s="5" t="inlineStr">
        <is>
          <t>Kỹ sư lập trình</t>
        </is>
      </c>
      <c r="C10" s="4" t="inlineStr">
        <is>
          <t>DEV</t>
        </is>
      </c>
      <c r="D10" s="19" t="n">
        <v>5</v>
      </c>
      <c r="E10" s="20" t="n">
        <v>1600</v>
      </c>
      <c r="F10" s="7" t="n">
        <v>240000</v>
      </c>
      <c r="G10" s="21">
        <f>E10*F10</f>
        <v/>
      </c>
    </row>
    <row r="11" ht="22" customHeight="1">
      <c r="A11" s="4" t="n">
        <v>6</v>
      </c>
      <c r="B11" s="5" t="inlineStr">
        <is>
          <t>Chuyên viên kiểm thử</t>
        </is>
      </c>
      <c r="C11" s="4" t="inlineStr">
        <is>
          <t>QC</t>
        </is>
      </c>
      <c r="D11" s="19" t="n">
        <v>2</v>
      </c>
      <c r="E11" s="20" t="n">
        <v>560</v>
      </c>
      <c r="F11" s="7" t="n">
        <v>220000</v>
      </c>
      <c r="G11" s="21">
        <f>E11*F11</f>
        <v/>
      </c>
    </row>
    <row r="12" ht="22" customHeight="1">
      <c r="A12" s="4" t="n">
        <v>7</v>
      </c>
      <c r="B12" s="5" t="inlineStr">
        <is>
          <t>Kỹ sư hạ tầng &amp; vận hành</t>
        </is>
      </c>
      <c r="C12" s="4" t="inlineStr">
        <is>
          <t>OPS</t>
        </is>
      </c>
      <c r="D12" s="19" t="n">
        <v>1</v>
      </c>
      <c r="E12" s="20" t="n">
        <v>240</v>
      </c>
      <c r="F12" s="7" t="n">
        <v>270000</v>
      </c>
      <c r="G12" s="21">
        <f>E12*F12</f>
        <v/>
      </c>
    </row>
    <row r="13" ht="26" customHeight="1">
      <c r="A13" s="11" t="inlineStr">
        <is>
          <t>Cộng chi phí nhân công trực tiếp (chưa thuế):</t>
        </is>
      </c>
      <c r="B13" s="22" t="n"/>
      <c r="C13" s="22" t="n"/>
      <c r="D13" s="23">
        <f>SUM(D6:D12)</f>
        <v/>
      </c>
      <c r="E13" s="24">
        <f>SUM(E6:E12)</f>
        <v/>
      </c>
      <c r="F13" s="22" t="n"/>
      <c r="G13" s="25">
        <f>SUM(G6:G12)</f>
        <v/>
      </c>
    </row>
    <row r="14"/>
    <row r="15">
      <c r="A15" s="16" t="inlineStr">
        <is>
          <t>II. CHI PHÍ HẠ TẦNG ĐÁM MÂY &amp; CÔNG CỤ KIỂM THỬ TRỰC TIẾP</t>
        </is>
      </c>
      <c r="B15" s="17" t="n"/>
      <c r="C15" s="17" t="n"/>
      <c r="D15" s="17" t="n"/>
      <c r="E15" s="17" t="n"/>
      <c r="F15" s="17" t="n"/>
      <c r="G15" s="17" t="n"/>
    </row>
    <row r="16" ht="26" customHeight="1">
      <c r="A16" s="18" t="inlineStr">
        <is>
          <t>STT</t>
        </is>
      </c>
      <c r="B16" s="18" t="inlineStr">
        <is>
          <t>Hạng mục chi phí</t>
        </is>
      </c>
      <c r="C16" s="18" t="inlineStr">
        <is>
          <t>Mô tả chi tiết</t>
        </is>
      </c>
      <c r="D16" s="18" t="inlineStr">
        <is>
          <t>Khối lượng</t>
        </is>
      </c>
      <c r="E16" s="18" t="inlineStr">
        <is>
          <t>Đơn vị tính</t>
        </is>
      </c>
      <c r="F16" s="18" t="inlineStr">
        <is>
          <t>Đơn giá chưa thuế (VNĐ)</t>
        </is>
      </c>
      <c r="G16" s="18" t="inlineStr">
        <is>
          <t>Thành tiền chưa thuế (VNĐ)</t>
        </is>
      </c>
    </row>
    <row r="17" ht="22" customHeight="1">
      <c r="A17" s="4" t="n">
        <v>1</v>
      </c>
      <c r="B17" s="5" t="inlineStr">
        <is>
          <t>Hạ tầng Cloud DEV/SIT/UAT</t>
        </is>
      </c>
      <c r="C17" s="6" t="inlineStr">
        <is>
          <t>Môi trường máy chủ thử nghiệm, CSDL, Load Balancer, VPN</t>
        </is>
      </c>
      <c r="D17" s="26" t="n">
        <v>3.5</v>
      </c>
      <c r="E17" s="4" t="inlineStr">
        <is>
          <t>Tháng</t>
        </is>
      </c>
      <c r="F17" s="7" t="n">
        <v>5000000</v>
      </c>
      <c r="G17" s="21">
        <f>D17*F17</f>
        <v/>
      </c>
    </row>
    <row r="18" ht="22" customHeight="1">
      <c r="A18" s="4" t="n">
        <v>2</v>
      </c>
      <c r="B18" s="5" t="inlineStr">
        <is>
          <t>Công cụ kiểm thử &amp; CI/CD</t>
        </is>
      </c>
      <c r="C18" s="6" t="inlineStr">
        <is>
          <t>Bản quyền tool kiểm thử hiệu năng, ATTT, Pipeline CI/CD automation</t>
        </is>
      </c>
      <c r="D18" s="26" t="n">
        <v>1</v>
      </c>
      <c r="E18" s="4" t="inlineStr">
        <is>
          <t>Gói</t>
        </is>
      </c>
      <c r="F18" s="7" t="n">
        <v>11000000</v>
      </c>
      <c r="G18" s="21">
        <f>D18*F18</f>
        <v/>
      </c>
    </row>
    <row r="19" ht="26" customHeight="1">
      <c r="A19" s="11" t="inlineStr">
        <is>
          <t>Cộng chi phí hạ tầng &amp; công cụ (chưa thuế):</t>
        </is>
      </c>
      <c r="B19" s="22" t="n"/>
      <c r="C19" s="22" t="n"/>
      <c r="D19" s="22" t="n"/>
      <c r="E19" s="22" t="n"/>
      <c r="F19" s="22" t="n"/>
      <c r="G19" s="25">
        <f>SUM(G17:G18)</f>
        <v/>
      </c>
    </row>
    <row r="20"/>
    <row r="21">
      <c r="A21" s="16" t="inlineStr">
        <is>
          <t>III. QUỸ DỰ PHÒNG RỦI RO &amp; QUẢN LÝ THAY ĐỔI (RISK CONTINGENCY &amp; CHANGE MANAGEMENT)</t>
        </is>
      </c>
      <c r="B21" s="17" t="n"/>
      <c r="C21" s="17" t="n"/>
      <c r="D21" s="17" t="n"/>
      <c r="E21" s="17" t="n"/>
      <c r="F21" s="17" t="n"/>
      <c r="G21" s="17" t="n"/>
    </row>
    <row r="22" ht="24" customHeight="1">
      <c r="A22" s="27" t="inlineStr">
        <is>
          <t>Quỹ dự phòng rủi ro kỹ thuật, biến động tải &amp; quản lý thay đổi yêu cầu (chưa thuế):</t>
        </is>
      </c>
      <c r="B22" s="28" t="n"/>
      <c r="C22" s="28" t="n"/>
      <c r="D22" s="28" t="n"/>
      <c r="E22" s="28" t="n"/>
      <c r="F22" s="28" t="n"/>
      <c r="G22" s="29" t="n">
        <v>236809091</v>
      </c>
    </row>
    <row r="23"/>
    <row r="24">
      <c r="A24" s="30" t="inlineStr">
        <is>
          <t>IV. TỔNG HỢP GIÁ DỰ THẦU THÀNH PHẦN &amp; THUẾ GIÁ TRỊ GIA TĂNG (VAT)</t>
        </is>
      </c>
      <c r="B24" s="31" t="n"/>
      <c r="C24" s="31" t="n"/>
      <c r="D24" s="31" t="n"/>
      <c r="E24" s="31" t="n"/>
      <c r="F24" s="31" t="n"/>
      <c r="G24" s="31" t="n"/>
    </row>
    <row r="25" ht="24" customHeight="1">
      <c r="A25" s="5" t="inlineStr">
        <is>
          <t>1. Tổng chi phí nhân công trực tiếp (I)</t>
        </is>
      </c>
      <c r="B25" s="32" t="n"/>
      <c r="C25" s="32" t="n"/>
      <c r="D25" s="32" t="n"/>
      <c r="E25" s="32" t="n"/>
      <c r="F25" s="32" t="n"/>
      <c r="G25" s="33">
        <f>G13</f>
        <v/>
      </c>
    </row>
    <row r="26" ht="24" customHeight="1">
      <c r="A26" s="5" t="inlineStr">
        <is>
          <t>2. Tổng chi phí hạ tầng đám mây &amp; công cụ (II)</t>
        </is>
      </c>
      <c r="B26" s="32" t="n"/>
      <c r="C26" s="32" t="n"/>
      <c r="D26" s="32" t="n"/>
      <c r="E26" s="32" t="n"/>
      <c r="F26" s="32" t="n"/>
      <c r="G26" s="33">
        <f>G19</f>
        <v/>
      </c>
    </row>
    <row r="27" ht="24" customHeight="1">
      <c r="A27" s="5" t="inlineStr">
        <is>
          <t>3. Quỹ dự phòng rủi ro &amp; quản lý thay đổi (III)</t>
        </is>
      </c>
      <c r="B27" s="32" t="n"/>
      <c r="C27" s="32" t="n"/>
      <c r="D27" s="32" t="n"/>
      <c r="E27" s="32" t="n"/>
      <c r="F27" s="32" t="n"/>
      <c r="G27" s="33">
        <f>G22</f>
        <v/>
      </c>
    </row>
    <row r="28" ht="24" customHeight="1">
      <c r="A28" s="34" t="inlineStr">
        <is>
          <t>TỔNG CHI PHÍ TRƯỚC THUẾ VAT (I + II + III)</t>
        </is>
      </c>
      <c r="B28" s="32" t="n"/>
      <c r="C28" s="32" t="n"/>
      <c r="D28" s="32" t="n"/>
      <c r="E28" s="32" t="n"/>
      <c r="F28" s="32" t="n"/>
      <c r="G28" s="35">
        <f>SUM(G25:G27)</f>
        <v/>
      </c>
    </row>
    <row r="29" ht="24" customHeight="1">
      <c r="A29" s="36" t="inlineStr">
        <is>
          <t>Thuế Giá trị gia tăng VAT (10%)</t>
        </is>
      </c>
      <c r="B29" s="32" t="n"/>
      <c r="C29" s="32" t="n"/>
      <c r="D29" s="32" t="n"/>
      <c r="E29" s="32" t="n"/>
      <c r="F29" s="32" t="n"/>
      <c r="G29" s="7">
        <f>ROUND(G28*0.1, 0)</f>
        <v/>
      </c>
    </row>
    <row r="30" ht="24" customHeight="1">
      <c r="A30" s="11" t="inlineStr">
        <is>
          <t>TỔNG GIÁ DỰ THẦU TRỌN GÓI SAU THUẾ VAT (VNĐ)</t>
        </is>
      </c>
      <c r="B30" s="12" t="n"/>
      <c r="C30" s="12" t="n"/>
      <c r="D30" s="12" t="n"/>
      <c r="E30" s="12" t="n"/>
      <c r="F30" s="12" t="n"/>
      <c r="G30" s="37">
        <f>G28+G29</f>
        <v/>
      </c>
    </row>
  </sheetData>
  <mergeCells count="15">
    <mergeCell ref="A13:C13"/>
    <mergeCell ref="A1:G1"/>
    <mergeCell ref="A28:F28"/>
    <mergeCell ref="A19:F19"/>
    <mergeCell ref="A21:G21"/>
    <mergeCell ref="A4:G4"/>
    <mergeCell ref="A27:F27"/>
    <mergeCell ref="A24:G24"/>
    <mergeCell ref="A2:G2"/>
    <mergeCell ref="A22:F22"/>
    <mergeCell ref="A15:G15"/>
    <mergeCell ref="A26:F26"/>
    <mergeCell ref="A30:F30"/>
    <mergeCell ref="A29:F29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4" customWidth="1" min="3" max="3"/>
    <col width="22" customWidth="1" min="4" max="4"/>
    <col width="26" customWidth="1" min="5" max="5"/>
    <col width="24" customWidth="1" min="6" max="6"/>
    <col width="22" customWidth="1" min="7" max="7"/>
    <col width="22" customWidth="1" min="8" max="8"/>
    <col width="24" customWidth="1" min="9" max="9"/>
    <col width="22" customWidth="1" min="10" max="10"/>
  </cols>
  <sheetData>
    <row r="1">
      <c r="A1" s="1" t="inlineStr">
        <is>
          <t>BẢNG PHÂN BỔ 3.200 GIỜ CÔNG THEO 5 GÓI TRIỂN KHAI VÀ VÀI TRÒ</t>
        </is>
      </c>
    </row>
    <row r="2">
      <c r="A2" s="2" t="inlineStr">
        <is>
          <t>Phân bổ khối lượng công việc bám sát tiến độ 8 Sprint từ 16/03/2026 đến 01/07/2026</t>
        </is>
      </c>
    </row>
    <row r="3"/>
    <row r="4" ht="30" customHeight="1">
      <c r="A4" s="3" t="inlineStr">
        <is>
          <t>STT</t>
        </is>
      </c>
      <c r="B4" s="3" t="inlineStr">
        <is>
          <t>Vị trí / Vai trò nhân sự</t>
        </is>
      </c>
      <c r="C4" s="3" t="inlineStr">
        <is>
          <t>Mã vai trò</t>
        </is>
      </c>
      <c r="D4" s="3" t="inlineStr">
        <is>
          <t>Gói 1: Phân tích hệ thống</t>
        </is>
      </c>
      <c r="E4" s="3" t="inlineStr">
        <is>
          <t>Gói 2: Thiết kế &amp; Phát triển WSS</t>
        </is>
      </c>
      <c r="F4" s="3" t="inlineStr">
        <is>
          <t>Gói 3: Tích hợp Main System</t>
        </is>
      </c>
      <c r="G4" s="3" t="inlineStr">
        <is>
          <t>Gói 4: Kiểm thử vận hành</t>
        </is>
      </c>
      <c r="H4" s="3" t="inlineStr">
        <is>
          <t>Gói 5: Bàn giao &amp; Go-live</t>
        </is>
      </c>
      <c r="I4" s="3" t="inlineStr">
        <is>
          <t>Tổng giờ công phân bổ</t>
        </is>
      </c>
      <c r="J4" s="3" t="inlineStr">
        <is>
          <t>Đơn giá (VNĐ/giờ)</t>
        </is>
      </c>
    </row>
    <row r="5" ht="22" customHeight="1">
      <c r="A5" s="4" t="n">
        <v>1</v>
      </c>
      <c r="B5" s="5" t="inlineStr">
        <is>
          <t>Quản lý dự án</t>
        </is>
      </c>
      <c r="C5" s="4" t="inlineStr">
        <is>
          <t>PM</t>
        </is>
      </c>
      <c r="D5" s="20" t="n">
        <v>40</v>
      </c>
      <c r="E5" s="20" t="n">
        <v>60</v>
      </c>
      <c r="F5" s="20" t="n">
        <v>30</v>
      </c>
      <c r="G5" s="20" t="n">
        <v>50</v>
      </c>
      <c r="H5" s="20" t="n">
        <v>40</v>
      </c>
      <c r="I5" s="38">
        <f>SUM(D5:H5)</f>
        <v/>
      </c>
      <c r="J5" s="7" t="n">
        <v>360000</v>
      </c>
    </row>
    <row r="6" ht="22" customHeight="1">
      <c r="A6" s="8" t="n">
        <v>2</v>
      </c>
      <c r="B6" s="9" t="inlineStr">
        <is>
          <t>Kiến trúc sư hệ thống</t>
        </is>
      </c>
      <c r="C6" s="8" t="inlineStr">
        <is>
          <t>SA</t>
        </is>
      </c>
      <c r="D6" s="20" t="n">
        <v>30</v>
      </c>
      <c r="E6" s="20" t="n">
        <v>60</v>
      </c>
      <c r="F6" s="20" t="n">
        <v>50</v>
      </c>
      <c r="G6" s="20" t="n">
        <v>20</v>
      </c>
      <c r="H6" s="20" t="n">
        <v>20</v>
      </c>
      <c r="I6" s="39">
        <f>SUM(D6:H6)</f>
        <v/>
      </c>
      <c r="J6" s="7" t="n">
        <v>380000</v>
      </c>
    </row>
    <row r="7" ht="22" customHeight="1">
      <c r="A7" s="4" t="n">
        <v>3</v>
      </c>
      <c r="B7" s="5" t="inlineStr">
        <is>
          <t>Chuyên viên phân tích nghiệp vụ</t>
        </is>
      </c>
      <c r="C7" s="4" t="inlineStr">
        <is>
          <t>BA</t>
        </is>
      </c>
      <c r="D7" s="20" t="n">
        <v>120</v>
      </c>
      <c r="E7" s="20" t="n">
        <v>60</v>
      </c>
      <c r="F7" s="20" t="n">
        <v>30</v>
      </c>
      <c r="G7" s="20" t="n">
        <v>20</v>
      </c>
      <c r="H7" s="20" t="n">
        <v>20</v>
      </c>
      <c r="I7" s="38">
        <f>SUM(D7:H7)</f>
        <v/>
      </c>
      <c r="J7" s="7" t="n">
        <v>280000</v>
      </c>
    </row>
    <row r="8" ht="22" customHeight="1">
      <c r="A8" s="8" t="n">
        <v>4</v>
      </c>
      <c r="B8" s="9" t="inlineStr">
        <is>
          <t>Chuyên viên thiết kế giao diện</t>
        </is>
      </c>
      <c r="C8" s="8" t="inlineStr">
        <is>
          <t>UX</t>
        </is>
      </c>
      <c r="D8" s="20" t="n">
        <v>50</v>
      </c>
      <c r="E8" s="20" t="n">
        <v>80</v>
      </c>
      <c r="F8" s="20" t="n">
        <v>0</v>
      </c>
      <c r="G8" s="20" t="n">
        <v>10</v>
      </c>
      <c r="H8" s="20" t="n">
        <v>10</v>
      </c>
      <c r="I8" s="39">
        <f>SUM(D8:H8)</f>
        <v/>
      </c>
      <c r="J8" s="7" t="n">
        <v>240000</v>
      </c>
    </row>
    <row r="9" ht="22" customHeight="1">
      <c r="A9" s="4" t="n">
        <v>5</v>
      </c>
      <c r="B9" s="5" t="inlineStr">
        <is>
          <t>Kỹ sư lập trình (5 nhân sự)</t>
        </is>
      </c>
      <c r="C9" s="4" t="inlineStr">
        <is>
          <t>DEV</t>
        </is>
      </c>
      <c r="D9" s="20" t="n">
        <v>80</v>
      </c>
      <c r="E9" s="20" t="n">
        <v>950</v>
      </c>
      <c r="F9" s="20" t="n">
        <v>240</v>
      </c>
      <c r="G9" s="20" t="n">
        <v>230</v>
      </c>
      <c r="H9" s="20" t="n">
        <v>100</v>
      </c>
      <c r="I9" s="38">
        <f>SUM(D9:H9)</f>
        <v/>
      </c>
      <c r="J9" s="7" t="n">
        <v>240000</v>
      </c>
    </row>
    <row r="10" ht="22" customHeight="1">
      <c r="A10" s="8" t="n">
        <v>6</v>
      </c>
      <c r="B10" s="9" t="inlineStr">
        <is>
          <t>Chuyên viên kiểm thử (2 nhân sự)</t>
        </is>
      </c>
      <c r="C10" s="8" t="inlineStr">
        <is>
          <t>QC</t>
        </is>
      </c>
      <c r="D10" s="20" t="n">
        <v>30</v>
      </c>
      <c r="E10" s="20" t="n">
        <v>220</v>
      </c>
      <c r="F10" s="20" t="n">
        <v>40</v>
      </c>
      <c r="G10" s="20" t="n">
        <v>220</v>
      </c>
      <c r="H10" s="20" t="n">
        <v>50</v>
      </c>
      <c r="I10" s="39">
        <f>SUM(D10:H10)</f>
        <v/>
      </c>
      <c r="J10" s="7" t="n">
        <v>220000</v>
      </c>
    </row>
    <row r="11" ht="22" customHeight="1">
      <c r="A11" s="4" t="n">
        <v>7</v>
      </c>
      <c r="B11" s="5" t="inlineStr">
        <is>
          <t>Kỹ sư hạ tầng &amp; vận hành</t>
        </is>
      </c>
      <c r="C11" s="4" t="inlineStr">
        <is>
          <t>OPS</t>
        </is>
      </c>
      <c r="D11" s="20" t="n">
        <v>0</v>
      </c>
      <c r="E11" s="20" t="n">
        <v>50</v>
      </c>
      <c r="F11" s="20" t="n">
        <v>10</v>
      </c>
      <c r="G11" s="20" t="n">
        <v>80</v>
      </c>
      <c r="H11" s="20" t="n">
        <v>100</v>
      </c>
      <c r="I11" s="38">
        <f>SUM(D11:H11)</f>
        <v/>
      </c>
      <c r="J11" s="7" t="n">
        <v>270000</v>
      </c>
    </row>
    <row r="12" ht="26" customHeight="1">
      <c r="A12" s="11" t="inlineStr">
        <is>
          <t>Tổng số giờ công theo gói triển khai:</t>
        </is>
      </c>
      <c r="B12" s="22" t="n"/>
      <c r="C12" s="22" t="n"/>
      <c r="D12" s="40">
        <f>SUM(D5:D11)</f>
        <v/>
      </c>
      <c r="E12" s="40">
        <f>SUM(E5:E11)</f>
        <v/>
      </c>
      <c r="F12" s="40">
        <f>SUM(F5:F11)</f>
        <v/>
      </c>
      <c r="G12" s="40">
        <f>SUM(G5:G11)</f>
        <v/>
      </c>
      <c r="H12" s="40">
        <f>SUM(H5:H11)</f>
        <v/>
      </c>
      <c r="I12" s="40">
        <f>SUM(I5:I11)</f>
        <v/>
      </c>
      <c r="J12" s="41" t="inlineStr"/>
    </row>
  </sheetData>
  <mergeCells count="3">
    <mergeCell ref="A12:C12"/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2026-10-24T23:02:12Z</dcterms:created>
  <dcterms:modified xmlns:dcterms="http://purl.org/dc/terms/" xmlns:xsi="http://www.w3.org/2001/XMLSchema-instance" xsi:type="dcterms:W3CDTF">2026-10-24T23:02:12Z</dcterms:modified>
</cp:coreProperties>
</file>