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Plan" sheetId="2" r:id="rId5"/>
    <sheet state="visible" name="Chi phí theo mốc" sheetId="3" r:id="rId6"/>
    <sheet state="visible" name="Ngân sách rủi ro" sheetId="4" r:id="rId7"/>
    <sheet state="visible" name="Values" sheetId="5" r:id="rId8"/>
    <sheet state="visible" name="Register" sheetId="6" r:id="rId9"/>
  </sheets>
  <definedNames/>
  <calcPr/>
  <extLst>
    <ext uri="GoogleSheetsCustomDataVersion2">
      <go:sheetsCustomData xmlns:go="http://customooxmlschemas.google.com/" r:id="rId10" roundtripDataChecksum="sKsnHY0Rmha4fZROPQAY9g+R/tiWaPhNGOrzGC3Lmu4="/>
    </ext>
  </extLst>
</workbook>
</file>

<file path=xl/sharedStrings.xml><?xml version="1.0" encoding="utf-8"?>
<sst xmlns="http://schemas.openxmlformats.org/spreadsheetml/2006/main" count="427" uniqueCount="244">
  <si>
    <t>CHI PHÍ ỨNG PHÓ DỰ KIẾN THEO MỐC / DÒNG HSDT</t>
  </si>
  <si>
    <t>NGÂN SÁCH ỨNG PHÓ RỦI RO</t>
  </si>
  <si>
    <t>PROJECT RISK MANAGEMENT</t>
  </si>
  <si>
    <t>RISK MANAGEMENT PLAN</t>
  </si>
  <si>
    <t>Plan · Identify · Analyze (A/B/C) · Respond · Monitor</t>
  </si>
  <si>
    <t>Project</t>
  </si>
  <si>
    <t>Phân bổ ước lượng chi ứng phó theo mốc. Hạn mức theo dõi ưu tiên A: 177,146,400 đồng (xem sheet Ngân sách rủi ro).</t>
  </si>
  <si>
    <t>Thông tin dự án</t>
  </si>
  <si>
    <t>Hạn mức theo dõi (ưu tiên A)</t>
  </si>
  <si>
    <t>Mốc / nhóm</t>
  </si>
  <si>
    <t>Risk IDs</t>
  </si>
  <si>
    <t>đồng</t>
  </si>
  <si>
    <t>Số rủi ro</t>
  </si>
  <si>
    <t>Σ Chi phí ứng phó dự kiến (VNĐ)</t>
  </si>
  <si>
    <t>Tổng ước lượng mọi rủi ro đang mở</t>
  </si>
  <si>
    <t>% trên giá thầu</t>
  </si>
  <si>
    <t>M0–M6 – Xuyên suốt</t>
  </si>
  <si>
    <t>Giá thầu dự án (tham chiếu)</t>
  </si>
  <si>
    <t>Tên dự án</t>
  </si>
  <si>
    <t>đồng — không cộng quỹ rủi ro vào số này</t>
  </si>
  <si>
    <t>Quy tắc chi</t>
  </si>
  <si>
    <t>Hệ thống bán hàng online ABC Wear (Web Selling Site System)</t>
  </si>
  <si>
    <t>1) Có dấu hiệu rủi ro hoặc rủi ro đã xảy ra, chủ sở hữu đề xuất chi trong mức ước lượng trên Register.
2) PM duyệt chi trong hạn mức theo dõi; vượt hạn mức hoặc ngoài phạm vi, change request / Ban dự án duyệt.
3) Mỗi lần chi ghi Risk ID, số tiền thực tế, và cập nhật lại ước lượng còn lại.
4) Cuối giai đoạn rà soát: rủi ro đã đóng thì giải phóng phần ước lượng chưa dùng.</t>
  </si>
  <si>
    <t>1. Methodology</t>
  </si>
  <si>
    <t>R-003</t>
  </si>
  <si>
    <t>Chi tiết ước lượng theo rủi ro</t>
  </si>
  <si>
    <t>(1) Viết rủi ro: nguyên nhân, chuyện gì xảy ra, ảnh hưởng mốc nào.
(2) Chấm P và I, ra mức ưu tiên A/B/C.
(3) Chọn cách xử lý; cần đổi phạm vi/mốc/tiền thì mở change.
(4) Theo dõi dấu hiệu hàng tuần, cập nhật lại P/I khi đã xử lý.</t>
  </si>
  <si>
    <t>Mã / Document No.</t>
  </si>
  <si>
    <t>ABC-WSS-PM_26I_09</t>
  </si>
  <si>
    <t>M1 – SRS (WBS 2:,10/07)</t>
  </si>
  <si>
    <t>R-005</t>
  </si>
  <si>
    <t>M3 – Tích hợp (WBS 4.5: 21/08–09/09)</t>
  </si>
  <si>
    <t>R-001</t>
  </si>
  <si>
    <t>ID</t>
  </si>
  <si>
    <t>Công ty / Đơn vị</t>
  </si>
  <si>
    <t>2. Roles and responsibilities</t>
  </si>
  <si>
    <t>M3 – Build sprint đầu (từ 03/08)</t>
  </si>
  <si>
    <t>Công ty Cổ phần ABC Wear (CĐT) / Nhóm 09-20261 (nhà thầu)</t>
  </si>
  <si>
    <t>R-004</t>
  </si>
  <si>
    <t>Mức ưu tiên</t>
  </si>
  <si>
    <t>M3 – Thanh toán (20/08–28/08; Schedule 28/08)</t>
  </si>
  <si>
    <t>R-006</t>
  </si>
  <si>
    <t>Mốc</t>
  </si>
  <si>
    <t>Chi ước lượng (đồng)</t>
  </si>
  <si>
    <t>M3 – Đồng bộ tồn (31/08–07/09; Schedule ≤16/10)</t>
  </si>
  <si>
    <t>Cách dùng tiền</t>
  </si>
  <si>
    <t>R-007</t>
  </si>
  <si>
    <t>PM chủ trì nhận diện/rà soát rủi ro, đăng ký chúng vào sheet Register
- PM/SA/BA/DEV/QC/OPS xử lý các rủi ro được giao
- Đại diện ABC Wear / Sponsor tham gia khi rủi ro cần Accept/Transfer hoặc đổi mốc/phạm vi.</t>
  </si>
  <si>
    <t>M3 – Đối soát (08/09–09/09)</t>
  </si>
  <si>
    <t>R-012</t>
  </si>
  <si>
    <t>Project Manager</t>
  </si>
  <si>
    <t>Nguyễn Đức Tân</t>
  </si>
  <si>
    <t>M3–M4 – Môi trường &amp; license</t>
  </si>
  <si>
    <t>R-011</t>
  </si>
  <si>
    <t>3. Budgeting (ngân sách ứng phó rủi ro)</t>
  </si>
  <si>
    <t>A</t>
  </si>
  <si>
    <t>M4 – Hiệu năng (WBS 5.3: 14/09–22/09)</t>
  </si>
  <si>
    <t>R-002</t>
  </si>
  <si>
    <t>M4 – SIT (14/09–21/09)</t>
  </si>
  <si>
    <t>R-008</t>
  </si>
  <si>
    <t>Ngân sách ứng phó rủi ro theo dõi ở mức khoảng 177,146,400 đồng (tổng chi ước lượng để xử lý các rủi ro ưu tiên A trên Register).
Cách dùng:
• Ưu tiên dùng nhân công / effort đang có trong nhóm việc liên quan đến rủi ro.
• Số trên Register là mức chi ước lượng khi rủi ro xảy ra — PM theo dõi burn theo tuần.
• Chi vượt mức ước lượng, hoặc phát sinh ngoài phạm vi đã chào (hạ tầng, thuê ngoài, làm thêm), mở change request và xin duyệt trước khi chi.
• Không chi trước khi rủi ro có dấu hiệu / đã được xác nhận cần ứng phó.
Tổng chi ước lượng mọi rủi ro đang mở: 186,003,720 đồng (trong đó ưu tiên A: 177,146,400 đồng). Đây là hạn mức theo dõi nội bộ, không cộng thêm vào giá thầu 897.600.000 đồng.</t>
  </si>
  <si>
    <t>Ngày lập</t>
  </si>
  <si>
    <t>Cả dự án</t>
  </si>
  <si>
    <t>M4 – UAT (21/09–25/09; HSDT go-live mục tiêu 25/11)</t>
  </si>
  <si>
    <t>2026-10-17</t>
  </si>
  <si>
    <t>R-009</t>
  </si>
  <si>
    <t>M5 – Go-live (WBS 01/10; HSDT cam kết 25/11)</t>
  </si>
  <si>
    <t>R-010</t>
  </si>
  <si>
    <t>4. Timing</t>
  </si>
  <si>
    <t>TỔNG</t>
  </si>
  <si>
    <t>Mượn người / OT</t>
  </si>
  <si>
    <t>Phiên bản</t>
  </si>
  <si>
    <t>1.0</t>
  </si>
  <si>
    <t>Lịch nội bộ: khoảng giữa năm, cuối tháng 10 (go-live đầu tháng 10 theo kế hoạch chi tiết). Cam kết với khách có mốc lên sóng muộn hơn (cuối tháng 11). Mỗi rủi ro ghi mốc việc đang đe dọa; nếu hai lịch lệch nhau thì thống nhất với khách trước khi làm tiếp.</t>
  </si>
  <si>
    <t>Chốt yêu cầu / SRS (→ đầu tháng 7)</t>
  </si>
  <si>
    <t>Họp lại / viết lại SRS</t>
  </si>
  <si>
    <t>5. Risk categories</t>
  </si>
  <si>
    <t>Tích hợp hệ thống (cuối tháng 8, đầu tháng 9)</t>
  </si>
  <si>
    <t>Đọc Register: cột vàng là tiền ước mang ra xử lý nếu rủi ro xảy ra. Sheet Ngân sách là chỗ kiểm tra giá gói có cộng đủ không.</t>
  </si>
  <si>
    <t>System, Technical, Organization</t>
  </si>
  <si>
    <t>Sheets</t>
  </si>
  <si>
    <t>OT / làm rõ với khách</t>
  </si>
  <si>
    <t>WBS/Mốc</t>
  </si>
  <si>
    <t>Giai đoạn code (từ đầu tháng 8)</t>
  </si>
  <si>
    <t>6. Monitor</t>
  </si>
  <si>
    <t>P/I</t>
  </si>
  <si>
    <t>Dòng HSDT</t>
  </si>
  <si>
    <t>Sửa lỗi / pair thêm</t>
  </si>
  <si>
    <t>Chi ứng phó dự kiến</t>
  </si>
  <si>
    <t>High/Big</t>
  </si>
  <si>
    <t>Họp rủi ro cùng họp tiến độ tuần, rà soát kỹ lại trước go-live 25/11/2026.
Response plan còn hiệu lực?
Có rủi ro mới không?
Rủi ro đã đổi Probability / Impact / Priority không?</t>
  </si>
  <si>
    <t>Thanh toán online (cuối tháng 8)</t>
  </si>
  <si>
    <t>2 – Thiết kế và phát triển WSS</t>
  </si>
  <si>
    <t>OT tích hợp cổng</t>
  </si>
  <si>
    <t>Đồng bộ tồn kho (đầu tháng 9)</t>
  </si>
  <si>
    <t>Middle/Big</t>
  </si>
  <si>
    <t>Sửa sync / đối soát</t>
  </si>
  <si>
    <t>1 – Phân tích hệ thống</t>
  </si>
  <si>
    <t>Plan</t>
  </si>
  <si>
    <t>B</t>
  </si>
  <si>
    <t>Đối soát dữ liệu (đầu tháng 9)</t>
  </si>
  <si>
    <t>3 – Tích hợp Main System</t>
  </si>
  <si>
    <t>Methodology, Roles, Budgeting, Timing, Categories</t>
  </si>
  <si>
    <t>War-room đối soát</t>
  </si>
  <si>
    <t>High/Middle</t>
  </si>
  <si>
    <t>Môi trường &amp; hạ tầng</t>
  </si>
  <si>
    <t>Chi hạ tầng phát sinh (nếu duyệt)</t>
  </si>
  <si>
    <t>Register</t>
  </si>
  <si>
    <t>Kiểm thử hiệu năng (giữa tháng 9)</t>
  </si>
  <si>
    <t>Sổ rủi ro + ma trận Priority A/B/C</t>
  </si>
  <si>
    <t>Tối ưu / test lại</t>
  </si>
  <si>
    <t>Middle/Middle</t>
  </si>
  <si>
    <t>SIT (giữa tháng 9)</t>
  </si>
  <si>
    <t>Sửa lỗi / hồi quy</t>
  </si>
  <si>
    <t>Ngân sách rủi ro</t>
  </si>
  <si>
    <t>4 – Kiểm thử vận hành</t>
  </si>
  <si>
    <t>UAT (cuối tháng 9)</t>
  </si>
  <si>
    <t>Hỗ trợ UAT thêm buổi</t>
  </si>
  <si>
    <t>Hạn mức theo dõi ưu tiên A ≈ 177,146,400 đồng; chi tiết trên sheet Ngân sách rủi ro</t>
  </si>
  <si>
    <t>Go-live</t>
  </si>
  <si>
    <t>Trực sự cố / rollback</t>
  </si>
  <si>
    <t>5 – Bàn giao sản phẩm</t>
  </si>
  <si>
    <t>Tổng</t>
  </si>
  <si>
    <t>Rủi ro gắn WBS/ngày + dòng HSDT + chi phí ứng phó dự kiến (effort)</t>
  </si>
  <si>
    <t>Probability</t>
  </si>
  <si>
    <t>Impact</t>
  </si>
  <si>
    <t>Strategy</t>
  </si>
  <si>
    <t>Category</t>
  </si>
  <si>
    <t>Priority</t>
  </si>
  <si>
    <t>Tiền rủi ro</t>
  </si>
  <si>
    <t>Ghi chú</t>
  </si>
  <si>
    <t>RISK REGISTER</t>
  </si>
  <si>
    <t>High</t>
  </si>
  <si>
    <t>Big</t>
  </si>
  <si>
    <t>Avoid</t>
  </si>
  <si>
    <t>System</t>
  </si>
  <si>
    <t>Dùng chi phí ứng phó (effort)</t>
  </si>
  <si>
    <t>High, 0,70</t>
  </si>
  <si>
    <t>Middle</t>
  </si>
  <si>
    <t>Transfer</t>
  </si>
  <si>
    <t>Technical</t>
  </si>
  <si>
    <t>Không dùng EMV vượt thầu</t>
  </si>
  <si>
    <t>Middle, 0,40</t>
  </si>
  <si>
    <t>Low</t>
  </si>
  <si>
    <t>Small</t>
  </si>
  <si>
    <t>Mitigate</t>
  </si>
  <si>
    <t>Organization</t>
  </si>
  <si>
    <t>C</t>
  </si>
  <si>
    <t>Căn cứ = dòng HSDT</t>
  </si>
  <si>
    <t>Low, 0,10</t>
  </si>
  <si>
    <t>Accept</t>
  </si>
  <si>
    <t>PRIORITY MATRIX (Probability × Impact)</t>
  </si>
  <si>
    <t>Định nghĩa thang đánh giá</t>
  </si>
  <si>
    <t>Probability \ Impact</t>
  </si>
  <si>
    <t>P: High / Middle / Low</t>
  </si>
  <si>
    <t>Nhiều lần trong quá khứ / vài lần / hiếm hoặc chưa</t>
  </si>
  <si>
    <t>I: Big</t>
  </si>
  <si>
    <t>Tổ chức phải xử lý (ảnh hưởng lớn, pháp lý, truyền thông)</t>
  </si>
  <si>
    <t>I: Middle</t>
  </si>
  <si>
    <t>Cần team hoặc đơn vị khác hỗ trợ</t>
  </si>
  <si>
    <t>I: Small</t>
  </si>
  <si>
    <t>Team dự án tự xử trong buffer</t>
  </si>
  <si>
    <t>A / B / C</t>
  </si>
  <si>
    <t>Ưu tiên ứng phó trước / có phương án theo dõi / theo dõi nhẹ</t>
  </si>
  <si>
    <t>Initial (trước ứng phó)</t>
  </si>
  <si>
    <t>Current (sau ứng phó)</t>
  </si>
  <si>
    <t>Chi phí &amp; căn cứ HSDT (không dùng EMV vượt giá thầu)</t>
  </si>
  <si>
    <t>Risk Driver</t>
  </si>
  <si>
    <t>Risk</t>
  </si>
  <si>
    <t>Response actions</t>
  </si>
  <si>
    <t>Owner</t>
  </si>
  <si>
    <t>P</t>
  </si>
  <si>
    <t>I</t>
  </si>
  <si>
    <t>Dấu hiệu (trigger) / Contingency</t>
  </si>
  <si>
    <t>Nhóm chi phí</t>
  </si>
  <si>
    <t>Giá dòng HSDT (VNĐ)</t>
  </si>
  <si>
    <t>Chi phí ứng phó dự kiến (VNĐ)</t>
  </si>
  <si>
    <t>Loại chi</t>
  </si>
  <si>
    <t>Đội chỉ có vài người then chốt (PM, kiến trúc, dev chính). Dễ bị kéo sang dự án khác cùng lúc.</t>
  </si>
  <si>
    <t>Người then chốt không đủ giờ, review sơ sài, code yếu, các mốc duyệt thiết kế / UAT / lên sóng bị trễ.</t>
  </si>
  <si>
    <t>Chốt % thời gian từng người từ đầu dự án; có người dự phòng; việc thanh toán và tích hợp không giao cho người mới chưa quen.</t>
  </si>
  <si>
    <t>PM – Nguyễn Đức Tân</t>
  </si>
  <si>
    <t>Dấu hiệu: làm quá % đã chốt, hoặc milestone đứng vì chờ người đang bận dự án khác hơn 3 ngày.
Nếu cháy: mượn người cùng skill; không thay được thì bàn lại phạm vi hoặc mốc với khách.</t>
  </si>
  <si>
    <t>Thiết kế &amp; phát triển website</t>
  </si>
  <si>
    <t>Làm SRS phụ thuộc họp và phản hồi của nghiệp vụ khách. Họ bận là mình chờ.</t>
  </si>
  <si>
    <t>Khách đổi ý hoặc trả lời chậm sau khi tưởng đã chốt, phải viết lại phân tích/thiết kế, trễ mốc SRS đầu tháng 7.</t>
  </si>
  <si>
    <t>Chốt tiêu chí nghiệm thu ngay họp phạm vi; sau khi đóng SRS thì đổi gì cũng đi change request; không âm thầm làm thêm.</t>
  </si>
  <si>
    <t>BA</t>
  </si>
  <si>
    <t>Dấu hiệu: quá 3 ngày làm việc không phản hồi, hoặc phát sinh yêu cầu mới sau biên bản đóng SRS.
Nếu cháy: ưu tiên luồng đặt hàng–thanh toán; thay đổi lớn thì làm CR.</t>
  </si>
  <si>
    <t>Chốt yêu cầu / SRS (đầu tháng 7)</t>
  </si>
  <si>
    <t>Phân tích hệ thống</t>
  </si>
  <si>
    <t>Làm tích hợp với hệ thống chính của khách thì cần họ cấp quyền, VPN và tài liệu API. Phía mình không tự có được.</t>
  </si>
  <si>
    <t>Khách giao muộn hoặc thiếu tài liệu kết nối, phần tích hợp đứng, trượt mốc tích hợp đầu tháng 9, SIT giữa tháng không chạy được luồng thật.</t>
  </si>
  <si>
    <t>Gửi checklist ngay khi bắt đầu làm môi trường; nhắc mỗi tuần; chậm quá 5 ngày thì escalate lên đầu mối Ban dự án phía khách; trong lúc chờ thì làm mock để dev không ngồi chơi.</t>
  </si>
  <si>
    <t>Dấu hiệu: checklist quá hạn 5 ngày làm việc, hoặc 2 tuần họp vẫn không có gì mới.
Nếu cháy: báo rõ mất bao nhiêu ngày tiến độ; tạm dùng mock; thỏa thuận lại mốc SIT nếu chậm do phía khách.</t>
  </si>
  <si>
    <t>Tích hợp Main System</t>
  </si>
  <si>
    <t>Người mới vào chưa quen coding standard, review và nghiệp vụ mua hàng.</t>
  </si>
  <si>
    <t>Module giao cho người mới lỗi nhiều; luồng vui vẻ cũng fail trước khi vào kiểm thử tích hợp, mất lịch test.</t>
  </si>
  <si>
    <t>Pair 1–2 tuần đầu; bắt buộc review luồng đặt hàng; chưa pass onboarding thì không nhận việc thanh toán hay tích hợp.</t>
  </si>
  <si>
    <t>DEV</t>
  </si>
  <si>
    <t>Dấu hiệu: happy case fail ở review hoặc SIT; bug mở lại liên tục trên việc của member mới.
Nếu cháy: giao lại module cho người ổn hơn; chưa pass thì chưa đẩy lên môi trường tích hợp.</t>
  </si>
  <si>
    <t>Thanh toán online dính cổng bên thứ ba: callback, hoàn tiền, đối soát. Sandbox hay cấp chậm hoặc hành xử khác production.</t>
  </si>
  <si>
    <t>Tồn đọng lỗi thanh toán kéo quá cuối tháng 8, SIT và UAT không chạy hết luồng mua hàng.</t>
  </si>
  <si>
    <t>Xin sandbox sớm; test kỹ treo giao dịch, hoàn tiền, chống trừ trùng; mỗi ngày đếm backlog thanh toán; có phương án tạm thu COD nếu cổng gãy (cần khách đồng ý).</t>
  </si>
  <si>
    <t>DEV / PM</t>
  </si>
  <si>
    <t>Dấu hiệu: gắn cổng chậm hơn kế hoạch 2 ngày, hoặc giao dịch treo/lệch tiền trên sandbox.
Nếu cháy: tăng ca nhóm thanh toán; tạm bỏ bớt một phương thức phụ để giữ lịch SIT.</t>
  </si>
  <si>
    <t>Tồn trên web phải khớp hệ thống chính, sync khoảng 15 phút/lần. Lệch một chút là bán quá hàng hoặc hiện sai.</t>
  </si>
  <si>
    <t>Tồn web khác hệ thống chính, khách đặt hàng không có hàng, fail kiểm thử nghiệp vụ và mất uy tín lúc lên sóng.</t>
  </si>
  <si>
    <t>Đối chiếu tồn theo mã hàng mỗi ngày khi làm sync; có cảnh báo lệch; lệch quá ngưỡng thì ẩn nút mua.</t>
  </si>
  <si>
    <t>DEV / OPS</t>
  </si>
  <si>
    <t>Dấu hiệu: tồn web khác hệ thống chính quá ngưỡng trong 2 lần sync liên tiếp.
Nếu cháy: tăng tần suất sync tạm; dừng bán đúng SKU lệch đến khi khớp.</t>
  </si>
  <si>
    <t>Cuối ngày phải đối được đơn, tiền và tồn với hệ thống chính. Lệch số là phía tài chính khách không chịu.</t>
  </si>
  <si>
    <t>Báo cáo đối soát không khớp đơn đã ghi, khách không nghiệm thu phần tích hợp.</t>
  </si>
  <si>
    <t>Mỗi ngày đối theo mã đơn–SKU–số tiền; có test case riêng cho đối soát; lệch chưa giải thích thì chưa lên sóng.</t>
  </si>
  <si>
    <t>QA / DEV</t>
  </si>
  <si>
    <t>Dấu hiệu: file xuất / dashboard lệch module đơn hoặc cổng thanh toán 2 ngày liên tiếp.
Nếu cháy: ngồi cùng IT khách đối từng dòng; tạm dừng luồng phụ đến khi khớp.</t>
  </si>
  <si>
    <t>Máy chủ, CDN, WAF, license hoặc phí API đôi khi chưa chốt hết lúc chào thầu; đến lúc test tải / lên sóng mới lộ thiếu.</t>
  </si>
  <si>
    <t>Hạ tầng hoặc license chưa sẵn, trễ dựng môi trường hoặc không đạt hiệu năng đã hứa.</t>
  </si>
  <si>
    <t>Chốt sizing và nhà cung cấp từ giai đoạn thiết kế; liệt kê license/API; phát sinh ngoài giá chào thì xin duyệt trước khi mua.</t>
  </si>
  <si>
    <t>OPS / PM</t>
  </si>
  <si>
    <t>Dấu hiệu: chưa có xác nhận công suất / staging / sao lưu trước khi vào test hiệu năng.
Nếu cháy: không tự ý mua vượt quyền; trình duyệt chi trước khi cam kết.</t>
  </si>
  <si>
    <t>Lúc thiết kế hay ước số user, đơn hàng, SKU thấp hơn ngày sale thật. Trong khi khách đòi trang đáp ứng trong 2 giây.</t>
  </si>
  <si>
    <t>Chạy test tải giữa tháng 9 không đạt, phải tối ưu gấp hoặc chỉnh lại kiến trúc, kéo lịch UAT và ngày lên sóng.</t>
  </si>
  <si>
    <t>Xin số liệu peak thật trước khi chốt thiết kế; test tải sớm khi môi trường sẵn; ưu tiên tối ưu trang danh mục và bước thanh toán.</t>
  </si>
  <si>
    <t>SA – Nguyễn Hải Đăng</t>
  </si>
  <si>
    <t>Dấu hiệu: test tải staging vượt giả định, hoặc báo cáo hiệu năng fail ngưỡng 2 giây.
Nếu cháy: tạm tắt tính năng nặng ngoài luồng mua hàng; scale máy chỉ khi đã được duyệt chi.</t>
  </si>
  <si>
    <t>Kiểm thử vận hành</t>
  </si>
  <si>
    <t>SIT phải chạy suốt từ đặt hàng, trả tiền, đẩy đơn, cập nhật giao hàng. Lỗi hay lộ muộn khi ghép hết.</t>
  </si>
  <si>
    <t>Lỗi tích hợp nặng còn mở khi sắp UAT, không ký được UAT giữa/cuối tháng 9.</t>
  </si>
  <si>
    <t>Test từng luồng ngay khi xong tích hợp; họp lỗi mỗi ngày; còn lỗi P0 thì chưa cho vào UAT.</t>
  </si>
  <si>
    <t>QA</t>
  </si>
  <si>
    <t>Dấu hiệu: còn lỗi tích hợp nặng chưa đóng trước ngày bắt đầu UAT.
Nếu cháy: dành vài ngày chỉ sửa–hồi quy; vẫn kẹt P0 thì bàn lùi UAT.</t>
  </si>
  <si>
    <t>UAT cần người nghiệp vụ và IT phía khách. Gần mùa bán hàng họ hay bận cửa hàng/chi nhánh.</t>
  </si>
  <si>
    <t>Người test phía khách vắng hoặc phản hồi chậm, không ký UAT, không đủ điều kiện lên sóng.</t>
  </si>
  <si>
    <t>Chốt tên người và lịch UAT từ sớm; gửi kịch bản trước ít nhất 5 ngày; chạy ngoài giờ cao điểm bán hàng; vắng thì escalate lên sponsor.</t>
  </si>
  <si>
    <t>BA / PM</t>
  </si>
  <si>
    <t>Dấu hiệu: chưa chốt lịch trước 5 ngày, hoặc key user nghỉ buổi test mà không có người thay.
Nếu cháy: UAT theo ca; tách phần bắt buộc (mua–thanh toán–đồng bộ) làm trước.</t>
  </si>
  <si>
    <t>Ngày lên sóng chỉ một cửa sổ. Môi trường thật hay khác staging (cấu hình, chứng chỉ, cân bằng tải…).</t>
  </si>
  <si>
    <t>Sai cấu hình lúc lên sóng, site lỗi đúng ngày mở bán.</t>
  </si>
  <si>
    <t>Chạy thử cut-over trước; checklist cấu hình; có kế hoạch rollback; trực 72 giờ đầu.</t>
  </si>
  <si>
    <t>OPS</t>
  </si>
  <si>
    <t>Dấu hiệu: diễn tập cut-over hoặc test khôi phục fail; checklist còn mục đỏ trước ngày G.
Nếu cháy: rollback về kênh cũ; không đạt gate thì lùi ngày lên sóng có kiểm soát.</t>
  </si>
  <si>
    <t>Bàn giao &amp; lên sóng</t>
  </si>
  <si>
    <t>P/I, Priority tự tính. Cột vàng = ước tiền mang ra xử lý nếu rủi ro xảy ra (ngày công). Nhóm chi phí = nhóm dịch vụ trong giá gói đang bị ảnh hưởng — không phải sẽ mất hết số tiền của cả nhóm.</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</si>
</sst>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20.0"/>
      <color rgb="FF1F4E79"/>
      <name val="Times New Roman"/>
    </font>
    <font>
      <b/>
      <sz val="16.0"/>
      <color rgb="FFFFFFFF"/>
      <name val="Times New Roman"/>
    </font>
    <font>
      <b/>
      <sz val="18.0"/>
      <color rgb="FFFFFFFF"/>
      <name val="Times New Roman"/>
    </font>
    <font/>
    <font>
      <sz val="14.0"/>
      <color rgb="FF2E75B6"/>
      <name val="Times New Roman"/>
    </font>
    <font>
      <color theme="1"/>
      <name val="Calibri"/>
      <scheme val="minor"/>
    </font>
    <font>
      <b/>
      <sz val="14.0"/>
      <color rgb="FF000000"/>
      <name val="Times New Roman"/>
    </font>
    <font>
      <b/>
      <sz val="14.0"/>
      <color rgb="FFFFFFFF"/>
      <name val="Times New Roman"/>
    </font>
    <font>
      <sz val="11.0"/>
      <color theme="1"/>
      <name val="Calibri"/>
    </font>
    <font>
      <b/>
      <sz val="14.0"/>
      <color rgb="FF1F4E79"/>
      <name val="Times New Roman"/>
    </font>
    <font>
      <sz val="14.0"/>
      <color rgb="FF000000"/>
      <name val="Times New Roman"/>
    </font>
    <font>
      <sz val="13.0"/>
      <color rgb="FF000000"/>
      <name val="Times New Roman"/>
    </font>
    <font>
      <b/>
      <sz val="12.0"/>
      <color rgb="FFFFFFFF"/>
      <name val="Times New Roman"/>
    </font>
    <font>
      <sz val="12.0"/>
      <color rgb="FF000000"/>
      <name val="Times New Roman"/>
    </font>
    <font>
      <b/>
      <sz val="13.0"/>
      <color rgb="FF000000"/>
      <name val="Times New Roman"/>
    </font>
    <font>
      <b/>
      <sz val="12.0"/>
      <color rgb="FF000000"/>
      <name val="Times New Roman"/>
    </font>
    <font>
      <sz val="11.0"/>
      <color rgb="FF666666"/>
      <name val="Times New Roman"/>
    </font>
    <font>
      <sz val="12.0"/>
      <color rgb="FF666666"/>
      <name val="Times New Roman"/>
    </font>
    <font>
      <i/>
      <sz val="12.0"/>
      <color rgb="FF666666"/>
      <name val="Times New Roman"/>
    </font>
  </fonts>
  <fills count="10">
    <fill>
      <patternFill patternType="none"/>
    </fill>
    <fill>
      <patternFill patternType="lightGray"/>
    </fill>
    <fill>
      <patternFill patternType="solid">
        <fgColor rgb="FF2E75B6"/>
        <bgColor rgb="FF2E75B6"/>
      </patternFill>
    </fill>
    <fill>
      <patternFill patternType="solid">
        <fgColor rgb="FF1F4E79"/>
        <bgColor rgb="FF1F4E79"/>
      </patternFill>
    </fill>
    <fill>
      <patternFill patternType="solid">
        <fgColor rgb="FFF2F2F2"/>
        <bgColor rgb="FFF2F2F2"/>
      </patternFill>
    </fill>
    <fill>
      <patternFill patternType="solid">
        <fgColor rgb="FFFFEB9C"/>
        <bgColor rgb="FFFFEB9C"/>
      </patternFill>
    </fill>
    <fill>
      <patternFill patternType="solid">
        <fgColor rgb="FFFFC7CE"/>
        <bgColor rgb="FFFFC7CE"/>
      </patternFill>
    </fill>
    <fill>
      <patternFill patternType="solid">
        <fgColor rgb="FFFCE4D6"/>
        <bgColor rgb="FFFCE4D6"/>
      </patternFill>
    </fill>
    <fill>
      <patternFill patternType="solid">
        <fgColor rgb="FFC6EFCE"/>
        <bgColor rgb="FFC6EFCE"/>
      </patternFill>
    </fill>
    <fill>
      <patternFill patternType="solid">
        <fgColor rgb="FFD6EAF8"/>
        <bgColor rgb="FFD6EAF8"/>
      </patternFill>
    </fill>
  </fills>
  <borders count="18">
    <border/>
    <border>
      <left/>
      <top/>
      <bottom/>
    </border>
    <border>
      <top/>
      <bottom/>
    </border>
    <border>
      <right/>
      <top/>
      <bottom/>
    </border>
    <border>
      <left style="thin">
        <color rgb="FFB0B0B0"/>
      </left>
      <right style="thin">
        <color rgb="FFB0B0B0"/>
      </right>
      <top style="thin">
        <color rgb="FFB0B0B0"/>
      </top>
    </border>
    <border>
      <left/>
      <right/>
      <top/>
      <bottom/>
    </border>
    <border>
      <left style="thin">
        <color rgb="FFB0B0B0"/>
      </left>
      <right style="thin">
        <color rgb="FFB0B0B0"/>
      </right>
      <top style="thin">
        <color rgb="FFB0B0B0"/>
      </top>
      <bottom style="thin">
        <color rgb="FFB0B0B0"/>
      </bottom>
    </border>
    <border>
      <left style="thin">
        <color rgb="FFB0B0B0"/>
      </left>
      <right style="thin">
        <color rgb="FFB0B0B0"/>
      </right>
      <bottom style="thin">
        <color rgb="FFB0B0B0"/>
      </bottom>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
      <left style="thin">
        <color rgb="FFB0B0B0"/>
      </left>
      <top style="thin">
        <color rgb="FFB0B0B0"/>
      </top>
    </border>
    <border>
      <right style="thin">
        <color rgb="FFB0B0B0"/>
      </right>
      <top style="thin">
        <color rgb="FFB0B0B0"/>
      </top>
    </border>
    <border>
      <left style="thin">
        <color rgb="FFB0B0B0"/>
      </left>
      <bottom style="thin">
        <color rgb="FFB0B0B0"/>
      </bottom>
    </border>
    <border>
      <right style="thin">
        <color rgb="FFB0B0B0"/>
      </right>
      <bottom style="thin">
        <color rgb="FFB0B0B0"/>
      </bottom>
    </border>
    <border>
      <left/>
      <top/>
      <bottom style="thin">
        <color rgb="FFB0B0B0"/>
      </bottom>
    </border>
    <border>
      <top/>
      <bottom style="thin">
        <color rgb="FFB0B0B0"/>
      </bottom>
    </border>
    <border>
      <right style="thin">
        <color rgb="FFB0B0B0"/>
      </right>
      <top/>
      <bottom style="thin">
        <color rgb="FFB0B0B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3" fontId="2" numFmtId="0" xfId="0" applyBorder="1" applyFill="1" applyFont="1"/>
    <xf borderId="1" fillId="2" fontId="3" numFmtId="0" xfId="0" applyBorder="1" applyFill="1" applyFont="1"/>
    <xf borderId="2" fillId="0" fontId="4" numFmtId="0" xfId="0" applyBorder="1" applyFont="1"/>
    <xf borderId="0" fillId="0" fontId="5" numFmtId="0" xfId="0" applyFont="1"/>
    <xf borderId="3" fillId="0" fontId="4" numFmtId="0" xfId="0" applyBorder="1" applyFont="1"/>
    <xf borderId="0" fillId="0" fontId="6" numFmtId="0" xfId="0" applyFont="1"/>
    <xf borderId="4" fillId="4" fontId="7" numFmtId="0" xfId="0" applyAlignment="1" applyBorder="1" applyFill="1" applyFont="1">
      <alignment shrinkToFit="0" vertical="center" wrapText="1"/>
    </xf>
    <xf borderId="0" fillId="0" fontId="7" numFmtId="0" xfId="0" applyFont="1"/>
    <xf borderId="5" fillId="3" fontId="8" numFmtId="0" xfId="0" applyBorder="1" applyFill="1" applyFont="1"/>
    <xf borderId="6" fillId="2" fontId="8" numFmtId="0" xfId="0" applyAlignment="1" applyBorder="1" applyFill="1" applyFont="1">
      <alignment horizontal="center" shrinkToFit="0" vertical="center" wrapText="1"/>
    </xf>
    <xf borderId="5" fillId="5" fontId="7" numFmtId="3" xfId="0" applyBorder="1" applyFill="1" applyFont="1" applyNumberFormat="1"/>
    <xf borderId="5" fillId="3" fontId="9" numFmtId="0" xfId="0" applyBorder="1" applyFill="1" applyFont="1"/>
    <xf borderId="0" fillId="0" fontId="9" numFmtId="3" xfId="0" applyFont="1" applyNumberFormat="1"/>
    <xf borderId="6" fillId="4" fontId="10" numFmtId="0" xfId="0" applyAlignment="1" applyBorder="1" applyFill="1" applyFont="1">
      <alignment vertical="center"/>
    </xf>
    <xf borderId="4" fillId="0" fontId="11" numFmtId="0" xfId="0" applyAlignment="1" applyBorder="1" applyFont="1">
      <alignment shrinkToFit="0" vertical="center" wrapText="1"/>
    </xf>
    <xf borderId="7" fillId="0" fontId="4" numFmtId="0" xfId="0" applyBorder="1" applyFont="1"/>
    <xf borderId="6" fillId="0" fontId="12" numFmtId="0" xfId="0" applyAlignment="1" applyBorder="1" applyFont="1">
      <alignment horizontal="left" shrinkToFit="0" vertical="center" wrapText="1"/>
    </xf>
    <xf borderId="0" fillId="0" fontId="12" numFmtId="0" xfId="0" applyAlignment="1" applyFont="1">
      <alignment horizontal="left" readingOrder="0" shrinkToFit="0" vertical="top" wrapText="1"/>
    </xf>
    <xf borderId="8" fillId="0" fontId="11" numFmtId="0" xfId="0" applyAlignment="1" applyBorder="1" applyFont="1">
      <alignment shrinkToFit="0" vertical="center" wrapText="1"/>
    </xf>
    <xf borderId="1" fillId="2" fontId="8" numFmtId="0" xfId="0" applyAlignment="1" applyBorder="1" applyFill="1" applyFont="1">
      <alignment vertical="top"/>
    </xf>
    <xf borderId="6" fillId="0" fontId="12" numFmtId="0" xfId="0" applyAlignment="1" applyBorder="1" applyFont="1">
      <alignment horizontal="center" shrinkToFit="0" vertical="center" wrapText="1"/>
    </xf>
    <xf borderId="9" fillId="0" fontId="4" numFmtId="0" xfId="0" applyBorder="1" applyFont="1"/>
    <xf borderId="10" fillId="0" fontId="4" numFmtId="0" xfId="0" applyBorder="1" applyFont="1"/>
    <xf borderId="6" fillId="5" fontId="12" numFmtId="3" xfId="0" applyAlignment="1" applyBorder="1" applyFill="1" applyFont="1" applyNumberFormat="1">
      <alignment horizontal="center" shrinkToFit="0" vertical="center" wrapText="1"/>
    </xf>
    <xf borderId="6" fillId="0" fontId="12" numFmtId="10" xfId="0" applyAlignment="1" applyBorder="1" applyFont="1" applyNumberFormat="1">
      <alignment horizontal="center" shrinkToFit="0" vertical="center" wrapText="1"/>
    </xf>
    <xf borderId="11" fillId="0" fontId="11" numFmtId="0" xfId="0" applyAlignment="1" applyBorder="1" applyFont="1">
      <alignment horizontal="left" readingOrder="0" shrinkToFit="0" vertical="top" wrapText="1"/>
    </xf>
    <xf borderId="1" fillId="2" fontId="8" numFmtId="0" xfId="0" applyBorder="1" applyFill="1" applyFont="1"/>
    <xf borderId="6" fillId="0" fontId="12" numFmtId="0" xfId="0" applyAlignment="1" applyBorder="1" applyFont="1">
      <alignment horizontal="left" readingOrder="0" shrinkToFit="0" vertical="center" wrapText="1"/>
    </xf>
    <xf borderId="12" fillId="0" fontId="4" numFmtId="0" xfId="0" applyBorder="1" applyFont="1"/>
    <xf borderId="13" fillId="0" fontId="4" numFmtId="0" xfId="0" applyBorder="1" applyFont="1"/>
    <xf borderId="14" fillId="0" fontId="4" numFmtId="0" xfId="0" applyBorder="1" applyFont="1"/>
    <xf borderId="6" fillId="2" fontId="13" numFmtId="0" xfId="0" applyAlignment="1" applyBorder="1" applyFill="1" applyFont="1">
      <alignment horizontal="center" shrinkToFit="0" vertical="center" wrapText="1"/>
    </xf>
    <xf borderId="11" fillId="0" fontId="11" numFmtId="0" xfId="0" applyAlignment="1" applyBorder="1" applyFont="1">
      <alignment horizontal="left" shrinkToFit="0" vertical="top" wrapText="1"/>
    </xf>
    <xf borderId="6" fillId="0" fontId="14" numFmtId="0" xfId="0" applyAlignment="1" applyBorder="1" applyFont="1">
      <alignment horizontal="center" shrinkToFit="0" vertical="center" wrapText="1"/>
    </xf>
    <xf borderId="6" fillId="5" fontId="14" numFmtId="0" xfId="0" applyAlignment="1" applyBorder="1" applyFill="1" applyFont="1">
      <alignment horizontal="center" shrinkToFit="0" vertical="center" wrapText="1"/>
    </xf>
    <xf borderId="6" fillId="0" fontId="14" numFmtId="0" xfId="0" applyAlignment="1" applyBorder="1" applyFont="1">
      <alignment horizontal="left" shrinkToFit="0" vertical="center" wrapText="1"/>
    </xf>
    <xf borderId="6" fillId="0" fontId="14" numFmtId="3" xfId="0" applyAlignment="1" applyBorder="1" applyFont="1" applyNumberFormat="1">
      <alignment horizontal="center" shrinkToFit="0" vertical="center" wrapText="1"/>
    </xf>
    <xf borderId="6" fillId="4" fontId="15" numFmtId="0" xfId="0" applyBorder="1" applyFill="1" applyFont="1"/>
    <xf borderId="6" fillId="4" fontId="15" numFmtId="3" xfId="0" applyBorder="1" applyFill="1" applyFont="1" applyNumberFormat="1"/>
    <xf borderId="6" fillId="4" fontId="15" numFmtId="10" xfId="0" applyBorder="1" applyFill="1" applyFont="1" applyNumberFormat="1"/>
    <xf borderId="6" fillId="0" fontId="14" numFmtId="0" xfId="0" applyAlignment="1" applyBorder="1" applyFont="1">
      <alignment horizontal="left" readingOrder="0" shrinkToFit="0" vertical="center" wrapText="1"/>
    </xf>
    <xf borderId="0" fillId="0" fontId="9" numFmtId="0" xfId="0" applyAlignment="1" applyFont="1">
      <alignment horizontal="left" shrinkToFit="0" vertical="top" wrapText="1"/>
    </xf>
    <xf borderId="5" fillId="2" fontId="8" numFmtId="0" xfId="0" applyBorder="1" applyFill="1" applyFont="1"/>
    <xf borderId="1" fillId="2" fontId="9" numFmtId="0" xfId="0" applyBorder="1" applyFill="1" applyFont="1"/>
    <xf borderId="6" fillId="0" fontId="12" numFmtId="3" xfId="0" applyAlignment="1" applyBorder="1" applyFont="1" applyNumberFormat="1">
      <alignment horizontal="center" shrinkToFit="0" vertical="center" wrapText="1"/>
    </xf>
    <xf borderId="6" fillId="0" fontId="7" numFmtId="0" xfId="0" applyAlignment="1" applyBorder="1" applyFont="1">
      <alignment shrinkToFit="0" vertical="center" wrapText="1"/>
    </xf>
    <xf borderId="6" fillId="0" fontId="11" numFmtId="0" xfId="0" applyAlignment="1" applyBorder="1" applyFont="1">
      <alignment shrinkToFit="0" vertical="center" wrapText="1"/>
    </xf>
    <xf borderId="6" fillId="4" fontId="16" numFmtId="0" xfId="0" applyBorder="1" applyFill="1" applyFont="1"/>
    <xf borderId="6" fillId="4" fontId="16" numFmtId="3" xfId="0" applyBorder="1" applyFill="1" applyFont="1" applyNumberFormat="1"/>
    <xf borderId="6" fillId="3" fontId="8" numFmtId="0" xfId="0" applyBorder="1" applyFill="1" applyFont="1"/>
    <xf borderId="6" fillId="0" fontId="7" numFmtId="0" xfId="0" applyBorder="1" applyFont="1"/>
    <xf borderId="6" fillId="0" fontId="11" numFmtId="0" xfId="0" applyBorder="1" applyFont="1"/>
    <xf borderId="6" fillId="6" fontId="7" numFmtId="0" xfId="0" applyAlignment="1" applyBorder="1" applyFill="1" applyFont="1">
      <alignment horizontal="center" vertical="center"/>
    </xf>
    <xf borderId="6" fillId="0" fontId="11" numFmtId="0" xfId="0" applyAlignment="1" applyBorder="1" applyFont="1">
      <alignment readingOrder="0"/>
    </xf>
    <xf borderId="6" fillId="7" fontId="7" numFmtId="0" xfId="0" applyAlignment="1" applyBorder="1" applyFill="1" applyFont="1">
      <alignment horizontal="center" vertical="center"/>
    </xf>
    <xf borderId="8" fillId="0" fontId="11" numFmtId="0" xfId="0" applyBorder="1" applyFont="1"/>
    <xf borderId="6" fillId="8" fontId="7" numFmtId="0" xfId="0" applyAlignment="1" applyBorder="1" applyFill="1" applyFont="1">
      <alignment horizontal="center" vertical="center"/>
    </xf>
    <xf borderId="0" fillId="0" fontId="9" numFmtId="0" xfId="0" applyAlignment="1" applyFont="1">
      <alignment horizontal="center"/>
    </xf>
    <xf borderId="6" fillId="3" fontId="8" numFmtId="0" xfId="0" applyAlignment="1" applyBorder="1" applyFill="1" applyFont="1">
      <alignment horizontal="center" vertical="center"/>
    </xf>
    <xf borderId="6" fillId="4" fontId="7" numFmtId="0" xfId="0" applyBorder="1" applyFill="1" applyFont="1"/>
    <xf borderId="8" fillId="9" fontId="11" numFmtId="0" xfId="0" applyBorder="1" applyFill="1" applyFont="1"/>
    <xf borderId="6" fillId="4" fontId="7" numFmtId="0" xfId="0" applyAlignment="1" applyBorder="1" applyFill="1" applyFont="1">
      <alignment horizontal="center" vertical="center"/>
    </xf>
    <xf borderId="6" fillId="2" fontId="9" numFmtId="0" xfId="0" applyBorder="1" applyFill="1" applyFont="1"/>
    <xf borderId="6" fillId="2" fontId="9" numFmtId="0" xfId="0" applyAlignment="1" applyBorder="1" applyFill="1" applyFont="1">
      <alignment horizontal="center"/>
    </xf>
    <xf borderId="8" fillId="2" fontId="13" numFmtId="0" xfId="0" applyAlignment="1" applyBorder="1" applyFill="1" applyFont="1">
      <alignment horizontal="center" shrinkToFit="0" vertical="center" wrapText="1"/>
    </xf>
    <xf borderId="15" fillId="2" fontId="13" numFmtId="0" xfId="0" applyAlignment="1" applyBorder="1" applyFill="1" applyFont="1">
      <alignment horizontal="center" shrinkToFit="0" vertical="center" wrapText="1"/>
    </xf>
    <xf borderId="16" fillId="0" fontId="4" numFmtId="0" xfId="0" applyBorder="1" applyFont="1"/>
    <xf borderId="17" fillId="0" fontId="4" numFmtId="0" xfId="0" applyBorder="1" applyFont="1"/>
    <xf borderId="6" fillId="0" fontId="11" numFmtId="0" xfId="0" applyAlignment="1" applyBorder="1" applyFont="1">
      <alignment horizontal="center" shrinkToFit="0" vertical="center" wrapText="1"/>
    </xf>
    <xf borderId="6" fillId="9" fontId="12" numFmtId="0" xfId="0" applyAlignment="1" applyBorder="1" applyFill="1" applyFont="1">
      <alignment horizontal="left" shrinkToFit="0" vertical="center" wrapText="1"/>
    </xf>
    <xf borderId="6" fillId="0" fontId="12" numFmtId="3" xfId="0" applyAlignment="1" applyBorder="1" applyFont="1" applyNumberFormat="1">
      <alignment horizontal="left" shrinkToFit="0" vertical="center" wrapText="1"/>
    </xf>
    <xf borderId="0" fillId="0" fontId="9" numFmtId="0" xfId="0" applyAlignment="1" applyFont="1">
      <alignment horizontal="left" vertical="top"/>
    </xf>
    <xf borderId="6" fillId="9" fontId="12" numFmtId="0" xfId="0" applyAlignment="1" applyBorder="1" applyFill="1" applyFont="1">
      <alignment horizontal="left" readingOrder="0" shrinkToFit="0" vertical="center" wrapText="1"/>
    </xf>
    <xf borderId="6" fillId="0" fontId="11" numFmtId="0" xfId="0" applyAlignment="1" applyBorder="1" applyFont="1">
      <alignment horizontal="left" shrinkToFit="0" vertical="center" wrapText="1"/>
    </xf>
    <xf borderId="6" fillId="9" fontId="11" numFmtId="0" xfId="0" applyAlignment="1" applyBorder="1" applyFill="1" applyFont="1">
      <alignment horizontal="left" shrinkToFit="0" vertical="center" wrapText="1"/>
    </xf>
    <xf borderId="6" fillId="0" fontId="11" numFmtId="3" xfId="0" applyAlignment="1" applyBorder="1" applyFont="1" applyNumberFormat="1">
      <alignment horizontal="center" shrinkToFit="0" vertical="center" wrapText="1"/>
    </xf>
    <xf borderId="6" fillId="0" fontId="11" numFmtId="0" xfId="0" applyAlignment="1" applyBorder="1" applyFont="1">
      <alignment horizontal="left" shrinkToFit="0" vertical="top" wrapText="1"/>
    </xf>
    <xf borderId="6" fillId="0" fontId="11" numFmtId="0" xfId="0" applyAlignment="1" applyBorder="1" applyFont="1">
      <alignment horizontal="center" shrinkToFit="0" vertical="top" wrapText="1"/>
    </xf>
    <xf borderId="6" fillId="0" fontId="11" numFmtId="0" xfId="0" applyAlignment="1" applyBorder="1" applyFont="1">
      <alignment horizontal="left" vertical="top"/>
    </xf>
    <xf borderId="6" fillId="0" fontId="11" numFmtId="3" xfId="0" applyAlignment="1" applyBorder="1" applyFont="1" applyNumberFormat="1">
      <alignment horizontal="left" vertical="top"/>
    </xf>
    <xf borderId="6" fillId="0" fontId="11" numFmtId="0" xfId="0" applyAlignment="1" applyBorder="1" applyFont="1">
      <alignment horizontal="center" vertical="center"/>
    </xf>
    <xf borderId="6" fillId="0" fontId="11" numFmtId="3" xfId="0" applyBorder="1" applyFont="1" applyNumberFormat="1"/>
    <xf borderId="8" fillId="0" fontId="17" numFmtId="0" xfId="0" applyAlignment="1" applyBorder="1" applyFont="1">
      <alignment horizontal="left" readingOrder="0" shrinkToFit="0" vertical="top" wrapText="1"/>
    </xf>
    <xf borderId="6" fillId="0" fontId="18" numFmtId="0" xfId="0" applyAlignment="1" applyBorder="1" applyFont="1">
      <alignment horizontal="left" shrinkToFit="0" vertical="top" wrapText="1"/>
    </xf>
    <xf borderId="6" fillId="0" fontId="7" numFmtId="0" xfId="0" applyAlignment="1" applyBorder="1" applyFont="1">
      <alignment horizontal="center" vertical="center"/>
    </xf>
    <xf borderId="0" fillId="0" fontId="19" numFmtId="0" xfId="0" applyFont="1"/>
  </cellXfs>
  <cellStyles count="1">
    <cellStyle xfId="0" name="Normal" builtinId="0"/>
  </cellStyles>
  <dxfs count="3">
    <dxf>
      <font>
        <b/>
        <sz val="14.0"/>
        <color rgb="FF000000"/>
        <name val="Times New Roman"/>
      </font>
      <fill>
        <patternFill patternType="solid">
          <fgColor rgb="FFFFC7CE"/>
          <bgColor rgb="FFFFC7CE"/>
        </patternFill>
      </fill>
      <border/>
    </dxf>
    <dxf>
      <font>
        <b/>
        <sz val="14.0"/>
        <color rgb="FF000000"/>
        <name val="Times New Roman"/>
      </font>
      <fill>
        <patternFill patternType="solid">
          <fgColor rgb="FFFCE4D6"/>
          <bgColor rgb="FFFCE4D6"/>
        </patternFill>
      </fill>
      <border/>
    </dxf>
    <dxf>
      <font>
        <b/>
        <sz val="14.0"/>
        <color rgb="FF000000"/>
        <name val="Times New Roman"/>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0"/>
    <col customWidth="1" min="3" max="3" width="28.0"/>
    <col customWidth="1" min="4" max="5" width="18.0"/>
    <col customWidth="1" min="6" max="6" width="14.0"/>
  </cols>
  <sheetData>
    <row r="2">
      <c r="B2" s="1" t="s">
        <v>2</v>
      </c>
    </row>
    <row r="3">
      <c r="B3" s="6" t="s">
        <v>4</v>
      </c>
    </row>
    <row r="5">
      <c r="B5" s="11" t="s">
        <v>7</v>
      </c>
      <c r="C5" s="14"/>
      <c r="D5" s="14"/>
      <c r="E5" s="14"/>
      <c r="F5" s="14"/>
    </row>
    <row r="6" ht="39.75" customHeight="1">
      <c r="B6" s="16" t="s">
        <v>18</v>
      </c>
      <c r="C6" s="21" t="s">
        <v>21</v>
      </c>
      <c r="D6" s="24"/>
      <c r="E6" s="24"/>
      <c r="F6" s="25"/>
    </row>
    <row r="7">
      <c r="B7" s="16" t="s">
        <v>27</v>
      </c>
      <c r="C7" s="21" t="s">
        <v>28</v>
      </c>
      <c r="D7" s="24"/>
      <c r="E7" s="24"/>
      <c r="F7" s="25"/>
    </row>
    <row r="8">
      <c r="B8" s="16" t="s">
        <v>34</v>
      </c>
      <c r="C8" s="21" t="s">
        <v>37</v>
      </c>
      <c r="D8" s="24"/>
      <c r="E8" s="24"/>
      <c r="F8" s="25"/>
    </row>
    <row r="9">
      <c r="B9" s="16" t="s">
        <v>50</v>
      </c>
      <c r="C9" s="21" t="s">
        <v>51</v>
      </c>
      <c r="D9" s="24"/>
      <c r="E9" s="24"/>
      <c r="F9" s="25"/>
    </row>
    <row r="10">
      <c r="B10" s="16" t="s">
        <v>61</v>
      </c>
      <c r="C10" s="21" t="s">
        <v>64</v>
      </c>
      <c r="D10" s="24"/>
      <c r="E10" s="24"/>
      <c r="F10" s="25"/>
    </row>
    <row r="11">
      <c r="B11" s="16" t="s">
        <v>71</v>
      </c>
      <c r="C11" s="21" t="s">
        <v>72</v>
      </c>
      <c r="D11" s="24"/>
      <c r="E11" s="24"/>
      <c r="F11" s="25"/>
    </row>
    <row r="13">
      <c r="B13" s="45" t="s">
        <v>80</v>
      </c>
      <c r="C13" s="46"/>
      <c r="D13" s="5"/>
      <c r="E13" s="7"/>
    </row>
    <row r="14">
      <c r="B14" s="48" t="s">
        <v>98</v>
      </c>
      <c r="C14" s="21" t="s">
        <v>102</v>
      </c>
      <c r="D14" s="24"/>
      <c r="E14" s="25"/>
    </row>
    <row r="15">
      <c r="B15" s="48" t="s">
        <v>107</v>
      </c>
      <c r="C15" s="21" t="s">
        <v>109</v>
      </c>
      <c r="D15" s="24"/>
      <c r="E15" s="25"/>
    </row>
    <row r="16">
      <c r="B16" s="49" t="s">
        <v>114</v>
      </c>
      <c r="C16" s="21" t="s">
        <v>118</v>
      </c>
      <c r="D16" s="24"/>
      <c r="E16" s="25"/>
    </row>
    <row r="17">
      <c r="B17" s="49" t="s">
        <v>107</v>
      </c>
      <c r="C17" s="21" t="s">
        <v>123</v>
      </c>
      <c r="D17" s="24"/>
      <c r="E17" s="2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C11:F11"/>
    <mergeCell ref="C13:E13"/>
    <mergeCell ref="C14:E14"/>
    <mergeCell ref="C15:E15"/>
    <mergeCell ref="C16:E16"/>
    <mergeCell ref="C17:E17"/>
    <mergeCell ref="B2:F2"/>
    <mergeCell ref="B3:F3"/>
    <mergeCell ref="C6:F6"/>
    <mergeCell ref="C7:F7"/>
    <mergeCell ref="C8:F8"/>
    <mergeCell ref="C9:F9"/>
    <mergeCell ref="C10:F10"/>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70.0"/>
    <col customWidth="1" min="3" max="6" width="8.71"/>
  </cols>
  <sheetData>
    <row r="1" ht="25.5" customHeight="1">
      <c r="A1" s="3" t="s">
        <v>3</v>
      </c>
      <c r="B1" s="7"/>
    </row>
    <row r="2">
      <c r="A2" s="9" t="s">
        <v>5</v>
      </c>
      <c r="B2" s="17" t="str">
        <f>Cover!C6</f>
        <v>Hệ thống bán hàng online ABC Wear (Web Selling Site System)</v>
      </c>
    </row>
    <row r="3">
      <c r="A3" s="18"/>
      <c r="B3" s="18"/>
    </row>
    <row r="5" ht="18.75" customHeight="1">
      <c r="A5" s="22" t="s">
        <v>23</v>
      </c>
      <c r="B5" s="7"/>
    </row>
    <row r="6" ht="90.0" customHeight="1">
      <c r="A6" s="28" t="s">
        <v>26</v>
      </c>
      <c r="B6" s="31"/>
    </row>
    <row r="7" ht="134.25" customHeight="1">
      <c r="A7" s="32"/>
      <c r="B7" s="33"/>
    </row>
    <row r="8">
      <c r="A8" s="22" t="s">
        <v>35</v>
      </c>
      <c r="B8" s="7"/>
    </row>
    <row r="9">
      <c r="A9" s="35" t="s">
        <v>47</v>
      </c>
      <c r="B9" s="31"/>
    </row>
    <row r="10" ht="89.25" customHeight="1">
      <c r="A10" s="32"/>
      <c r="B10" s="33"/>
    </row>
    <row r="11">
      <c r="A11" s="22" t="s">
        <v>54</v>
      </c>
      <c r="B11" s="7"/>
    </row>
    <row r="12" ht="165.0" customHeight="1">
      <c r="A12" s="28" t="s">
        <v>60</v>
      </c>
      <c r="B12" s="31"/>
    </row>
    <row r="13" ht="77.25" customHeight="1">
      <c r="A13" s="32"/>
      <c r="B13" s="33"/>
    </row>
    <row r="14">
      <c r="A14" s="22" t="s">
        <v>68</v>
      </c>
      <c r="B14" s="7"/>
    </row>
    <row r="15">
      <c r="A15" s="28" t="s">
        <v>73</v>
      </c>
      <c r="B15" s="31"/>
    </row>
    <row r="16" ht="60.0" customHeight="1">
      <c r="A16" s="32"/>
      <c r="B16" s="33"/>
    </row>
    <row r="17">
      <c r="A17" s="22" t="s">
        <v>76</v>
      </c>
      <c r="B17" s="7"/>
    </row>
    <row r="18">
      <c r="A18" s="35" t="s">
        <v>79</v>
      </c>
      <c r="B18" s="31"/>
    </row>
    <row r="19">
      <c r="A19" s="32"/>
      <c r="B19" s="33"/>
    </row>
    <row r="20">
      <c r="A20" s="22" t="s">
        <v>84</v>
      </c>
      <c r="B20" s="7"/>
    </row>
    <row r="21" ht="15.75" customHeight="1">
      <c r="A21" s="35" t="s">
        <v>90</v>
      </c>
      <c r="B21" s="31"/>
    </row>
    <row r="22" ht="107.25" customHeight="1">
      <c r="A22" s="32"/>
      <c r="B22" s="3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1:B11"/>
    <mergeCell ref="A12:B13"/>
    <mergeCell ref="A14:B14"/>
    <mergeCell ref="A15:B16"/>
    <mergeCell ref="A17:B17"/>
    <mergeCell ref="A18:B19"/>
    <mergeCell ref="A20:B20"/>
    <mergeCell ref="A21:B22"/>
    <mergeCell ref="A1:B1"/>
    <mergeCell ref="A2:A3"/>
    <mergeCell ref="B2:B3"/>
    <mergeCell ref="A5:B5"/>
    <mergeCell ref="A6:B7"/>
    <mergeCell ref="A8:B8"/>
    <mergeCell ref="A9:B1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42.0"/>
    <col customWidth="1" min="3" max="3" width="15.71"/>
    <col customWidth="1" min="4" max="4" width="32.0"/>
    <col customWidth="1" min="5" max="5" width="18.0"/>
    <col customWidth="1" min="6" max="25" width="8.86"/>
  </cols>
  <sheetData>
    <row r="1">
      <c r="A1" s="2" t="s">
        <v>0</v>
      </c>
      <c r="B1" s="5"/>
      <c r="C1" s="5"/>
      <c r="D1" s="5"/>
      <c r="E1" s="7"/>
    </row>
    <row r="2">
      <c r="A2" s="8" t="s">
        <v>6</v>
      </c>
    </row>
    <row r="4">
      <c r="A4" s="12" t="s">
        <v>9</v>
      </c>
      <c r="B4" s="12" t="s">
        <v>10</v>
      </c>
      <c r="C4" s="12" t="s">
        <v>12</v>
      </c>
      <c r="D4" s="12" t="s">
        <v>13</v>
      </c>
      <c r="E4" s="12" t="s">
        <v>15</v>
      </c>
    </row>
    <row r="5">
      <c r="A5" s="19" t="s">
        <v>16</v>
      </c>
      <c r="B5" s="19" t="s">
        <v>24</v>
      </c>
      <c r="C5" s="23">
        <v>1.0</v>
      </c>
      <c r="D5" s="26">
        <v>2.657196E7</v>
      </c>
      <c r="E5" s="27">
        <v>0.0296033422459893</v>
      </c>
    </row>
    <row r="6">
      <c r="A6" s="30" t="s">
        <v>29</v>
      </c>
      <c r="B6" s="19" t="s">
        <v>30</v>
      </c>
      <c r="C6" s="23">
        <v>1.0</v>
      </c>
      <c r="D6" s="26">
        <v>1.771464E7</v>
      </c>
      <c r="E6" s="27">
        <v>0.0197355614973262</v>
      </c>
    </row>
    <row r="7">
      <c r="A7" s="19" t="s">
        <v>31</v>
      </c>
      <c r="B7" s="19" t="s">
        <v>32</v>
      </c>
      <c r="C7" s="23">
        <v>1.0</v>
      </c>
      <c r="D7" s="26">
        <v>1.4171712E7</v>
      </c>
      <c r="E7" s="27">
        <v>0.01578844919786096</v>
      </c>
    </row>
    <row r="8">
      <c r="A8" s="19" t="s">
        <v>36</v>
      </c>
      <c r="B8" s="19" t="s">
        <v>38</v>
      </c>
      <c r="C8" s="23">
        <v>1.0</v>
      </c>
      <c r="D8" s="26">
        <v>1.0628784E7</v>
      </c>
      <c r="E8" s="27">
        <v>0.01184133689839572</v>
      </c>
    </row>
    <row r="9">
      <c r="A9" s="19" t="s">
        <v>40</v>
      </c>
      <c r="B9" s="19" t="s">
        <v>41</v>
      </c>
      <c r="C9" s="23">
        <v>1.0</v>
      </c>
      <c r="D9" s="26">
        <v>2.1257568E7</v>
      </c>
      <c r="E9" s="27">
        <v>0.02368267379679144</v>
      </c>
    </row>
    <row r="10">
      <c r="A10" s="19" t="s">
        <v>44</v>
      </c>
      <c r="B10" s="19" t="s">
        <v>46</v>
      </c>
      <c r="C10" s="23">
        <v>1.0</v>
      </c>
      <c r="D10" s="26">
        <v>1.4171712E7</v>
      </c>
      <c r="E10" s="27">
        <v>0.01578844919786096</v>
      </c>
    </row>
    <row r="11">
      <c r="A11" s="19" t="s">
        <v>48</v>
      </c>
      <c r="B11" s="19" t="s">
        <v>49</v>
      </c>
      <c r="C11" s="23">
        <v>1.0</v>
      </c>
      <c r="D11" s="26">
        <v>8857320.0</v>
      </c>
      <c r="E11" s="27">
        <v>0.009867780748663102</v>
      </c>
    </row>
    <row r="12">
      <c r="A12" s="19" t="s">
        <v>52</v>
      </c>
      <c r="B12" s="19" t="s">
        <v>53</v>
      </c>
      <c r="C12" s="23">
        <v>1.0</v>
      </c>
      <c r="D12" s="26">
        <v>8857320.0</v>
      </c>
      <c r="E12" s="27">
        <v>0.009867780748663102</v>
      </c>
    </row>
    <row r="13">
      <c r="A13" s="19" t="s">
        <v>56</v>
      </c>
      <c r="B13" s="19" t="s">
        <v>57</v>
      </c>
      <c r="C13" s="23">
        <v>1.0</v>
      </c>
      <c r="D13" s="26">
        <v>2.1257568E7</v>
      </c>
      <c r="E13" s="27">
        <v>0.02368267379679144</v>
      </c>
    </row>
    <row r="14">
      <c r="A14" s="19" t="s">
        <v>58</v>
      </c>
      <c r="B14" s="19" t="s">
        <v>59</v>
      </c>
      <c r="C14" s="23">
        <v>1.0</v>
      </c>
      <c r="D14" s="26">
        <v>1.771464E7</v>
      </c>
      <c r="E14" s="27">
        <v>0.0197355614973262</v>
      </c>
    </row>
    <row r="15">
      <c r="A15" s="19" t="s">
        <v>63</v>
      </c>
      <c r="B15" s="19" t="s">
        <v>65</v>
      </c>
      <c r="C15" s="23">
        <v>1.0</v>
      </c>
      <c r="D15" s="26">
        <v>1.0628784E7</v>
      </c>
      <c r="E15" s="27">
        <v>0.01184133689839572</v>
      </c>
    </row>
    <row r="16">
      <c r="A16" s="19" t="s">
        <v>66</v>
      </c>
      <c r="B16" s="19" t="s">
        <v>67</v>
      </c>
      <c r="C16" s="23">
        <v>1.0</v>
      </c>
      <c r="D16" s="26">
        <v>1.4171712E7</v>
      </c>
      <c r="E16" s="27">
        <v>0.01578844919786096</v>
      </c>
    </row>
    <row r="17">
      <c r="A17" s="40" t="s">
        <v>69</v>
      </c>
      <c r="B17" s="40"/>
      <c r="C17" s="40">
        <v>12.0</v>
      </c>
      <c r="D17" s="41">
        <v>1.8600372E8</v>
      </c>
      <c r="E17" s="42">
        <v>0.2072233957219251</v>
      </c>
    </row>
    <row r="19">
      <c r="A19" s="44" t="s">
        <v>78</v>
      </c>
    </row>
    <row r="21" ht="15.75" customHeight="1">
      <c r="A21" s="12" t="s">
        <v>33</v>
      </c>
      <c r="B21" s="12" t="s">
        <v>82</v>
      </c>
      <c r="C21" s="12" t="s">
        <v>85</v>
      </c>
      <c r="D21" s="12" t="s">
        <v>86</v>
      </c>
      <c r="E21" s="12" t="s">
        <v>88</v>
      </c>
    </row>
    <row r="22">
      <c r="A22" s="23" t="s">
        <v>24</v>
      </c>
      <c r="B22" s="19" t="s">
        <v>16</v>
      </c>
      <c r="C22" s="23" t="s">
        <v>89</v>
      </c>
      <c r="D22" s="19" t="s">
        <v>92</v>
      </c>
      <c r="E22" s="47">
        <v>2.657196E7</v>
      </c>
    </row>
    <row r="23" ht="15.75" customHeight="1">
      <c r="A23" s="23" t="s">
        <v>30</v>
      </c>
      <c r="B23" s="30" t="s">
        <v>29</v>
      </c>
      <c r="C23" s="23" t="s">
        <v>95</v>
      </c>
      <c r="D23" s="19" t="s">
        <v>97</v>
      </c>
      <c r="E23" s="47">
        <v>1.771464E7</v>
      </c>
    </row>
    <row r="24" ht="15.75" customHeight="1">
      <c r="A24" s="23" t="s">
        <v>32</v>
      </c>
      <c r="B24" s="19" t="s">
        <v>31</v>
      </c>
      <c r="C24" s="23" t="s">
        <v>89</v>
      </c>
      <c r="D24" s="19" t="s">
        <v>101</v>
      </c>
      <c r="E24" s="47">
        <v>1.4171712E7</v>
      </c>
    </row>
    <row r="25" ht="15.75" customHeight="1">
      <c r="A25" s="23" t="s">
        <v>38</v>
      </c>
      <c r="B25" s="19" t="s">
        <v>36</v>
      </c>
      <c r="C25" s="23" t="s">
        <v>104</v>
      </c>
      <c r="D25" s="19" t="s">
        <v>92</v>
      </c>
      <c r="E25" s="47">
        <v>1.0628784E7</v>
      </c>
    </row>
    <row r="26" ht="15.75" customHeight="1">
      <c r="A26" s="23" t="s">
        <v>41</v>
      </c>
      <c r="B26" s="19" t="s">
        <v>40</v>
      </c>
      <c r="C26" s="23" t="s">
        <v>89</v>
      </c>
      <c r="D26" s="19" t="s">
        <v>92</v>
      </c>
      <c r="E26" s="47">
        <v>2.1257568E7</v>
      </c>
    </row>
    <row r="27" ht="15.75" customHeight="1">
      <c r="A27" s="23" t="s">
        <v>46</v>
      </c>
      <c r="B27" s="19" t="s">
        <v>44</v>
      </c>
      <c r="C27" s="23" t="s">
        <v>95</v>
      </c>
      <c r="D27" s="19" t="s">
        <v>101</v>
      </c>
      <c r="E27" s="47">
        <v>1.4171712E7</v>
      </c>
    </row>
    <row r="28" ht="15.75" customHeight="1">
      <c r="A28" s="23" t="s">
        <v>49</v>
      </c>
      <c r="B28" s="19" t="s">
        <v>48</v>
      </c>
      <c r="C28" s="23" t="s">
        <v>111</v>
      </c>
      <c r="D28" s="19" t="s">
        <v>101</v>
      </c>
      <c r="E28" s="47">
        <v>8857320.0</v>
      </c>
    </row>
    <row r="29" ht="15.75" customHeight="1">
      <c r="A29" s="23" t="s">
        <v>53</v>
      </c>
      <c r="B29" s="19" t="s">
        <v>52</v>
      </c>
      <c r="C29" s="23" t="s">
        <v>95</v>
      </c>
      <c r="D29" s="19" t="s">
        <v>92</v>
      </c>
      <c r="E29" s="47">
        <v>8857320.0</v>
      </c>
    </row>
    <row r="30" ht="15.75" customHeight="1">
      <c r="A30" s="23" t="s">
        <v>57</v>
      </c>
      <c r="B30" s="19" t="s">
        <v>56</v>
      </c>
      <c r="C30" s="23" t="s">
        <v>95</v>
      </c>
      <c r="D30" s="19" t="s">
        <v>115</v>
      </c>
      <c r="E30" s="47">
        <v>2.1257568E7</v>
      </c>
    </row>
    <row r="31" ht="15.75" customHeight="1">
      <c r="A31" s="23" t="s">
        <v>59</v>
      </c>
      <c r="B31" s="19" t="s">
        <v>58</v>
      </c>
      <c r="C31" s="23" t="s">
        <v>95</v>
      </c>
      <c r="D31" s="19" t="s">
        <v>115</v>
      </c>
      <c r="E31" s="47">
        <v>1.771464E7</v>
      </c>
    </row>
    <row r="32" ht="15.75" customHeight="1">
      <c r="A32" s="23" t="s">
        <v>65</v>
      </c>
      <c r="B32" s="19" t="s">
        <v>63</v>
      </c>
      <c r="C32" s="23" t="s">
        <v>95</v>
      </c>
      <c r="D32" s="19" t="s">
        <v>115</v>
      </c>
      <c r="E32" s="47">
        <v>1.0628784E7</v>
      </c>
    </row>
    <row r="33" ht="15.75" customHeight="1">
      <c r="A33" s="23" t="s">
        <v>67</v>
      </c>
      <c r="B33" s="19" t="s">
        <v>66</v>
      </c>
      <c r="C33" s="23" t="s">
        <v>95</v>
      </c>
      <c r="D33" s="19" t="s">
        <v>121</v>
      </c>
      <c r="E33" s="47">
        <v>1.4171712E7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19:E19"/>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29"/>
    <col customWidth="1" min="2" max="2" width="19.14"/>
    <col customWidth="1" min="3" max="3" width="36.0"/>
    <col customWidth="1" min="4" max="4" width="22.0"/>
    <col customWidth="1" min="5" max="5" width="28.0"/>
    <col customWidth="1" min="6" max="26" width="8.86"/>
  </cols>
  <sheetData>
    <row r="1">
      <c r="A1" s="4" t="s">
        <v>1</v>
      </c>
      <c r="B1" s="5"/>
      <c r="C1" s="5"/>
      <c r="D1" s="7"/>
    </row>
    <row r="3">
      <c r="A3" s="10" t="s">
        <v>8</v>
      </c>
      <c r="B3" s="13">
        <v>1.771464E8</v>
      </c>
      <c r="C3" s="8" t="s">
        <v>11</v>
      </c>
    </row>
    <row r="4">
      <c r="A4" s="8" t="s">
        <v>14</v>
      </c>
      <c r="B4" s="15">
        <v>1.8600372E8</v>
      </c>
      <c r="C4" s="8" t="s">
        <v>11</v>
      </c>
    </row>
    <row r="5">
      <c r="A5" s="8" t="s">
        <v>17</v>
      </c>
      <c r="B5" s="15">
        <v>8.976E8</v>
      </c>
      <c r="C5" s="8" t="s">
        <v>19</v>
      </c>
    </row>
    <row r="7">
      <c r="A7" s="8" t="s">
        <v>20</v>
      </c>
    </row>
    <row r="8" ht="79.5" customHeight="1">
      <c r="A8" s="20" t="s">
        <v>22</v>
      </c>
    </row>
    <row r="12">
      <c r="A12" s="29" t="s">
        <v>25</v>
      </c>
      <c r="B12" s="5"/>
      <c r="C12" s="5"/>
      <c r="D12" s="5"/>
      <c r="E12" s="7"/>
    </row>
    <row r="13">
      <c r="A13" s="34" t="s">
        <v>33</v>
      </c>
      <c r="B13" s="34" t="s">
        <v>39</v>
      </c>
      <c r="C13" s="34" t="s">
        <v>42</v>
      </c>
      <c r="D13" s="34" t="s">
        <v>43</v>
      </c>
      <c r="E13" s="34" t="s">
        <v>45</v>
      </c>
    </row>
    <row r="14">
      <c r="A14" s="36" t="s">
        <v>24</v>
      </c>
      <c r="B14" s="37" t="s">
        <v>55</v>
      </c>
      <c r="C14" s="38" t="s">
        <v>62</v>
      </c>
      <c r="D14" s="39">
        <v>2.657196E7</v>
      </c>
      <c r="E14" s="38" t="s">
        <v>70</v>
      </c>
    </row>
    <row r="15">
      <c r="A15" s="36" t="s">
        <v>30</v>
      </c>
      <c r="B15" s="37" t="s">
        <v>55</v>
      </c>
      <c r="C15" s="38" t="s">
        <v>74</v>
      </c>
      <c r="D15" s="39">
        <v>1.771464E7</v>
      </c>
      <c r="E15" s="38" t="s">
        <v>75</v>
      </c>
    </row>
    <row r="16">
      <c r="A16" s="36" t="s">
        <v>32</v>
      </c>
      <c r="B16" s="37" t="s">
        <v>55</v>
      </c>
      <c r="C16" s="43" t="s">
        <v>77</v>
      </c>
      <c r="D16" s="39">
        <v>1.4171712E7</v>
      </c>
      <c r="E16" s="38" t="s">
        <v>81</v>
      </c>
    </row>
    <row r="17">
      <c r="A17" s="36" t="s">
        <v>38</v>
      </c>
      <c r="B17" s="37" t="s">
        <v>55</v>
      </c>
      <c r="C17" s="38" t="s">
        <v>83</v>
      </c>
      <c r="D17" s="39">
        <v>1.0628784E7</v>
      </c>
      <c r="E17" s="38" t="s">
        <v>87</v>
      </c>
    </row>
    <row r="18">
      <c r="A18" s="36" t="s">
        <v>41</v>
      </c>
      <c r="B18" s="37" t="s">
        <v>55</v>
      </c>
      <c r="C18" s="38" t="s">
        <v>91</v>
      </c>
      <c r="D18" s="39">
        <v>2.1257568E7</v>
      </c>
      <c r="E18" s="38" t="s">
        <v>93</v>
      </c>
    </row>
    <row r="19">
      <c r="A19" s="36" t="s">
        <v>46</v>
      </c>
      <c r="B19" s="37" t="s">
        <v>55</v>
      </c>
      <c r="C19" s="38" t="s">
        <v>94</v>
      </c>
      <c r="D19" s="39">
        <v>1.4171712E7</v>
      </c>
      <c r="E19" s="38" t="s">
        <v>96</v>
      </c>
    </row>
    <row r="20">
      <c r="A20" s="36" t="s">
        <v>49</v>
      </c>
      <c r="B20" s="36" t="s">
        <v>99</v>
      </c>
      <c r="C20" s="38" t="s">
        <v>100</v>
      </c>
      <c r="D20" s="39">
        <v>8857320.0</v>
      </c>
      <c r="E20" s="38" t="s">
        <v>103</v>
      </c>
    </row>
    <row r="21" ht="15.75" customHeight="1">
      <c r="A21" s="36" t="s">
        <v>53</v>
      </c>
      <c r="B21" s="37" t="s">
        <v>55</v>
      </c>
      <c r="C21" s="38" t="s">
        <v>105</v>
      </c>
      <c r="D21" s="39">
        <v>8857320.0</v>
      </c>
      <c r="E21" s="38" t="s">
        <v>106</v>
      </c>
    </row>
    <row r="22" ht="15.75" customHeight="1">
      <c r="A22" s="36" t="s">
        <v>57</v>
      </c>
      <c r="B22" s="37" t="s">
        <v>55</v>
      </c>
      <c r="C22" s="38" t="s">
        <v>108</v>
      </c>
      <c r="D22" s="39">
        <v>2.1257568E7</v>
      </c>
      <c r="E22" s="38" t="s">
        <v>110</v>
      </c>
    </row>
    <row r="23" ht="15.75" customHeight="1">
      <c r="A23" s="36" t="s">
        <v>59</v>
      </c>
      <c r="B23" s="37" t="s">
        <v>55</v>
      </c>
      <c r="C23" s="38" t="s">
        <v>112</v>
      </c>
      <c r="D23" s="39">
        <v>1.771464E7</v>
      </c>
      <c r="E23" s="38" t="s">
        <v>113</v>
      </c>
    </row>
    <row r="24" ht="15.75" customHeight="1">
      <c r="A24" s="36" t="s">
        <v>65</v>
      </c>
      <c r="B24" s="37" t="s">
        <v>55</v>
      </c>
      <c r="C24" s="38" t="s">
        <v>116</v>
      </c>
      <c r="D24" s="39">
        <v>1.0628784E7</v>
      </c>
      <c r="E24" s="38" t="s">
        <v>117</v>
      </c>
    </row>
    <row r="25" ht="15.75" customHeight="1">
      <c r="A25" s="36" t="s">
        <v>67</v>
      </c>
      <c r="B25" s="37" t="s">
        <v>55</v>
      </c>
      <c r="C25" s="38" t="s">
        <v>119</v>
      </c>
      <c r="D25" s="39">
        <v>1.4171712E7</v>
      </c>
      <c r="E25" s="38" t="s">
        <v>120</v>
      </c>
    </row>
    <row r="26" ht="15.75" customHeight="1">
      <c r="A26" s="50" t="s">
        <v>122</v>
      </c>
      <c r="B26" s="50"/>
      <c r="C26" s="50"/>
      <c r="D26" s="51">
        <v>1.8600372E8</v>
      </c>
      <c r="E26" s="5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8:D10"/>
    <mergeCell ref="A12:E1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6.0"/>
    <col customWidth="1" min="6" max="6" width="20.57"/>
    <col customWidth="1" min="7" max="7" width="8.71"/>
  </cols>
  <sheetData>
    <row r="1">
      <c r="A1" s="52" t="s">
        <v>124</v>
      </c>
      <c r="B1" s="52" t="s">
        <v>125</v>
      </c>
      <c r="C1" s="52" t="s">
        <v>126</v>
      </c>
      <c r="D1" s="52" t="s">
        <v>127</v>
      </c>
      <c r="E1" s="52" t="s">
        <v>128</v>
      </c>
      <c r="F1" s="53" t="s">
        <v>129</v>
      </c>
      <c r="G1" s="53" t="s">
        <v>130</v>
      </c>
    </row>
    <row r="2">
      <c r="A2" s="54" t="s">
        <v>132</v>
      </c>
      <c r="B2" s="54" t="s">
        <v>133</v>
      </c>
      <c r="C2" s="54" t="s">
        <v>134</v>
      </c>
      <c r="D2" s="54" t="s">
        <v>135</v>
      </c>
      <c r="E2" s="55" t="s">
        <v>55</v>
      </c>
      <c r="F2" s="54" t="s">
        <v>136</v>
      </c>
      <c r="G2" s="56" t="s">
        <v>137</v>
      </c>
    </row>
    <row r="3">
      <c r="A3" s="54" t="s">
        <v>138</v>
      </c>
      <c r="B3" s="54" t="s">
        <v>138</v>
      </c>
      <c r="C3" s="54" t="s">
        <v>139</v>
      </c>
      <c r="D3" s="54" t="s">
        <v>140</v>
      </c>
      <c r="E3" s="57" t="s">
        <v>99</v>
      </c>
      <c r="F3" s="54" t="s">
        <v>141</v>
      </c>
      <c r="G3" s="56" t="s">
        <v>142</v>
      </c>
    </row>
    <row r="4">
      <c r="A4" s="54" t="s">
        <v>143</v>
      </c>
      <c r="B4" s="54" t="s">
        <v>144</v>
      </c>
      <c r="C4" s="54" t="s">
        <v>145</v>
      </c>
      <c r="D4" s="54" t="s">
        <v>146</v>
      </c>
      <c r="E4" s="59" t="s">
        <v>147</v>
      </c>
      <c r="F4" s="54" t="s">
        <v>148</v>
      </c>
      <c r="G4" s="56" t="s">
        <v>149</v>
      </c>
    </row>
    <row r="5">
      <c r="C5" s="54" t="s">
        <v>150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1.0" topLeftCell="A12" activePane="bottomLeft" state="frozen"/>
      <selection activeCell="B13" sqref="B13" pane="bottomLeft"/>
    </sheetView>
  </sheetViews>
  <sheetFormatPr customHeight="1" defaultColWidth="14.43" defaultRowHeight="15.0"/>
  <cols>
    <col customWidth="1" min="1" max="1" width="8.0"/>
    <col customWidth="1" min="2" max="2" width="20.71"/>
    <col customWidth="1" min="3" max="3" width="20.0"/>
    <col customWidth="1" min="4" max="4" width="26.0"/>
    <col customWidth="1" min="5" max="5" width="16.71"/>
    <col customWidth="1" min="6" max="6" width="24.0"/>
    <col customWidth="1" min="7" max="7" width="10.0"/>
    <col customWidth="1" min="8" max="8" width="15.29"/>
    <col customWidth="1" min="9" max="9" width="12.71"/>
    <col customWidth="1" min="10" max="10" width="10.0"/>
    <col customWidth="1" min="11" max="11" width="8.0"/>
    <col customWidth="1" min="12" max="12" width="11.86"/>
    <col customWidth="1" min="13" max="13" width="10.0"/>
    <col customWidth="1" min="14" max="14" width="26.0"/>
    <col customWidth="1" min="15" max="15" width="20.0"/>
    <col customWidth="1" min="16" max="16" width="40.0"/>
    <col customWidth="1" min="17" max="17" width="28.0"/>
    <col customWidth="1" min="18" max="18" width="18.0"/>
    <col customWidth="1" min="19" max="19" width="22.0"/>
    <col customWidth="1" min="20" max="20" width="28.0"/>
    <col customWidth="1" min="21" max="26" width="40.0"/>
  </cols>
  <sheetData>
    <row r="1" ht="24.0" customHeight="1">
      <c r="A1" s="3" t="s">
        <v>131</v>
      </c>
      <c r="B1" s="5"/>
      <c r="C1" s="5"/>
      <c r="D1" s="5"/>
      <c r="E1" s="5"/>
      <c r="F1" s="5"/>
      <c r="G1" s="5"/>
      <c r="H1" s="5"/>
      <c r="I1" s="5"/>
      <c r="J1" s="5"/>
      <c r="K1" s="5"/>
      <c r="L1" s="7"/>
    </row>
    <row r="2">
      <c r="A2" s="53" t="s">
        <v>5</v>
      </c>
      <c r="B2" s="58" t="str">
        <f>Cover!C6</f>
        <v>Hệ thống bán hàng online ABC Wear (Web Selling Site System)</v>
      </c>
      <c r="C2" s="24"/>
      <c r="D2" s="24"/>
      <c r="E2" s="24"/>
      <c r="F2" s="24"/>
      <c r="G2" s="24"/>
      <c r="H2" s="24"/>
      <c r="I2" s="24"/>
      <c r="J2" s="24"/>
      <c r="K2" s="24"/>
      <c r="L2" s="25"/>
    </row>
    <row r="3">
      <c r="E3" s="60"/>
    </row>
    <row r="4">
      <c r="A4" s="29" t="s">
        <v>151</v>
      </c>
      <c r="B4" s="5"/>
      <c r="C4" s="5"/>
      <c r="D4" s="7"/>
      <c r="E4" s="60"/>
      <c r="F4" s="29" t="s">
        <v>152</v>
      </c>
      <c r="G4" s="5"/>
      <c r="H4" s="5"/>
      <c r="I4" s="5"/>
      <c r="J4" s="5"/>
      <c r="K4" s="5"/>
      <c r="L4" s="7"/>
    </row>
    <row r="5">
      <c r="A5" s="61" t="s">
        <v>153</v>
      </c>
      <c r="B5" s="61" t="s">
        <v>133</v>
      </c>
      <c r="C5" s="61" t="s">
        <v>138</v>
      </c>
      <c r="D5" s="61" t="s">
        <v>144</v>
      </c>
      <c r="E5" s="60"/>
      <c r="F5" s="62" t="s">
        <v>154</v>
      </c>
      <c r="G5" s="63" t="s">
        <v>155</v>
      </c>
      <c r="H5" s="24"/>
      <c r="I5" s="24"/>
      <c r="J5" s="24"/>
      <c r="K5" s="24"/>
      <c r="L5" s="25"/>
    </row>
    <row r="6">
      <c r="A6" s="64" t="s">
        <v>132</v>
      </c>
      <c r="B6" s="55" t="s">
        <v>55</v>
      </c>
      <c r="C6" s="55" t="s">
        <v>55</v>
      </c>
      <c r="D6" s="57" t="s">
        <v>99</v>
      </c>
      <c r="E6" s="60"/>
      <c r="F6" s="62" t="s">
        <v>156</v>
      </c>
      <c r="G6" s="63" t="s">
        <v>157</v>
      </c>
      <c r="H6" s="24"/>
      <c r="I6" s="24"/>
      <c r="J6" s="24"/>
      <c r="K6" s="24"/>
      <c r="L6" s="25"/>
    </row>
    <row r="7">
      <c r="A7" s="64" t="s">
        <v>138</v>
      </c>
      <c r="B7" s="55" t="s">
        <v>55</v>
      </c>
      <c r="C7" s="57" t="s">
        <v>99</v>
      </c>
      <c r="D7" s="59" t="s">
        <v>147</v>
      </c>
      <c r="E7" s="60"/>
      <c r="F7" s="62" t="s">
        <v>158</v>
      </c>
      <c r="G7" s="63" t="s">
        <v>159</v>
      </c>
      <c r="H7" s="24"/>
      <c r="I7" s="24"/>
      <c r="J7" s="24"/>
      <c r="K7" s="24"/>
      <c r="L7" s="25"/>
    </row>
    <row r="8">
      <c r="A8" s="64" t="s">
        <v>143</v>
      </c>
      <c r="B8" s="57" t="s">
        <v>99</v>
      </c>
      <c r="C8" s="59" t="s">
        <v>147</v>
      </c>
      <c r="D8" s="59" t="s">
        <v>147</v>
      </c>
      <c r="E8" s="60"/>
      <c r="F8" s="62" t="s">
        <v>160</v>
      </c>
      <c r="G8" s="63" t="s">
        <v>161</v>
      </c>
      <c r="H8" s="24"/>
      <c r="I8" s="24"/>
      <c r="J8" s="24"/>
      <c r="K8" s="24"/>
      <c r="L8" s="25"/>
    </row>
    <row r="9">
      <c r="E9" s="60"/>
      <c r="F9" s="62" t="s">
        <v>162</v>
      </c>
      <c r="G9" s="63" t="s">
        <v>163</v>
      </c>
      <c r="H9" s="24"/>
      <c r="I9" s="24"/>
      <c r="J9" s="24"/>
      <c r="K9" s="24"/>
      <c r="L9" s="25"/>
    </row>
    <row r="10">
      <c r="A10" s="65"/>
      <c r="B10" s="65"/>
      <c r="C10" s="65"/>
      <c r="D10" s="65"/>
      <c r="E10" s="66"/>
      <c r="F10" s="65"/>
      <c r="G10" s="65"/>
      <c r="H10" s="67" t="s">
        <v>164</v>
      </c>
      <c r="I10" s="24"/>
      <c r="J10" s="25"/>
      <c r="K10" s="67" t="s">
        <v>165</v>
      </c>
      <c r="L10" s="24"/>
      <c r="M10" s="25"/>
      <c r="N10" s="65"/>
      <c r="O10" s="65"/>
      <c r="P10" s="68" t="s">
        <v>166</v>
      </c>
      <c r="Q10" s="69"/>
      <c r="R10" s="69"/>
      <c r="S10" s="69"/>
      <c r="T10" s="70"/>
    </row>
    <row r="11" ht="66.75" customHeight="1">
      <c r="A11" s="12" t="s">
        <v>33</v>
      </c>
      <c r="B11" s="12" t="s">
        <v>127</v>
      </c>
      <c r="C11" s="12" t="s">
        <v>167</v>
      </c>
      <c r="D11" s="12" t="s">
        <v>168</v>
      </c>
      <c r="E11" s="12" t="s">
        <v>126</v>
      </c>
      <c r="F11" s="12" t="s">
        <v>169</v>
      </c>
      <c r="G11" s="12" t="s">
        <v>170</v>
      </c>
      <c r="H11" s="12" t="s">
        <v>171</v>
      </c>
      <c r="I11" s="12" t="s">
        <v>172</v>
      </c>
      <c r="J11" s="12" t="s">
        <v>128</v>
      </c>
      <c r="K11" s="12" t="s">
        <v>171</v>
      </c>
      <c r="L11" s="12" t="s">
        <v>172</v>
      </c>
      <c r="M11" s="12" t="s">
        <v>128</v>
      </c>
      <c r="N11" s="12" t="s">
        <v>173</v>
      </c>
      <c r="O11" s="12" t="s">
        <v>130</v>
      </c>
      <c r="P11" s="12" t="s">
        <v>42</v>
      </c>
      <c r="Q11" s="12" t="s">
        <v>174</v>
      </c>
      <c r="R11" s="12" t="s">
        <v>175</v>
      </c>
      <c r="S11" s="12" t="s">
        <v>176</v>
      </c>
      <c r="T11" s="12" t="s">
        <v>177</v>
      </c>
    </row>
    <row r="12">
      <c r="A12" s="23" t="s">
        <v>24</v>
      </c>
      <c r="B12" s="23" t="s">
        <v>146</v>
      </c>
      <c r="C12" s="19" t="s">
        <v>178</v>
      </c>
      <c r="D12" s="30" t="s">
        <v>179</v>
      </c>
      <c r="E12" s="23" t="s">
        <v>145</v>
      </c>
      <c r="F12" s="19" t="s">
        <v>180</v>
      </c>
      <c r="G12" s="23" t="s">
        <v>181</v>
      </c>
      <c r="H12" s="23" t="s">
        <v>132</v>
      </c>
      <c r="I12" s="23" t="s">
        <v>133</v>
      </c>
      <c r="J12" s="23" t="str">
        <f t="shared" ref="J12:J28" si="1">IF(OR(H12="",I12=""),"",IF(AND(H12="High",I12="Big"),"A",IF(AND(H12="High",I12="Middle"),"A",IF(AND(H12="High",I12="Small"),"B",IF(AND(H12="Middle",I12="Big"),"A",IF(AND(H12="Middle",I12="Middle"),"B",IF(AND(H12="Middle",I12="Small"),"C",IF(AND(H12="Low",I12="Big"),"B",IF(AND(H12="Low",I12="Middle"),"C",IF(AND(H12="Low",I12="Small"),"C",""))))))))))</f>
        <v>A</v>
      </c>
      <c r="K12" s="71"/>
      <c r="L12" s="71"/>
      <c r="M12" s="23" t="str">
        <f t="shared" ref="M12:M28" si="2">IF(OR(K12="",L12=""),"",IF(AND(K12="High",L12="Big"),"A",IF(AND(K12="High",L12="Middle"),"A",IF(AND(K12="High",L12="Small"),"B",IF(AND(K12="Middle",L12="Big"),"A",IF(AND(K12="Middle",L12="Middle"),"B",IF(AND(K12="Middle",L12="Small"),"C",IF(AND(K12="Low",L12="Big"),"B",IF(AND(K12="Low",L12="Middle"),"C",IF(AND(K12="Low",L12="Small"),"C",""))))))))))</f>
        <v/>
      </c>
      <c r="N12" s="19" t="s">
        <v>182</v>
      </c>
      <c r="O12" s="19"/>
      <c r="P12" s="72" t="s">
        <v>62</v>
      </c>
      <c r="Q12" s="19" t="s">
        <v>183</v>
      </c>
      <c r="R12" s="47">
        <v>3.968E8</v>
      </c>
      <c r="S12" s="26">
        <v>2.657196E7</v>
      </c>
      <c r="T12" s="73" t="s">
        <v>70</v>
      </c>
      <c r="U12" s="74"/>
      <c r="V12" s="74"/>
      <c r="W12" s="74"/>
      <c r="X12" s="74"/>
      <c r="Y12" s="74"/>
      <c r="Z12" s="74"/>
    </row>
    <row r="13">
      <c r="A13" s="23" t="s">
        <v>30</v>
      </c>
      <c r="B13" s="23" t="s">
        <v>140</v>
      </c>
      <c r="C13" s="19" t="s">
        <v>184</v>
      </c>
      <c r="D13" s="30" t="s">
        <v>185</v>
      </c>
      <c r="E13" s="23" t="s">
        <v>145</v>
      </c>
      <c r="F13" s="19" t="s">
        <v>186</v>
      </c>
      <c r="G13" s="23" t="s">
        <v>187</v>
      </c>
      <c r="H13" s="23" t="s">
        <v>138</v>
      </c>
      <c r="I13" s="23" t="s">
        <v>133</v>
      </c>
      <c r="J13" s="23" t="str">
        <f t="shared" si="1"/>
        <v>A</v>
      </c>
      <c r="K13" s="71"/>
      <c r="L13" s="71"/>
      <c r="M13" s="23" t="str">
        <f t="shared" si="2"/>
        <v/>
      </c>
      <c r="N13" s="19" t="s">
        <v>188</v>
      </c>
      <c r="O13" s="19"/>
      <c r="P13" s="75" t="s">
        <v>189</v>
      </c>
      <c r="Q13" s="19" t="s">
        <v>190</v>
      </c>
      <c r="R13" s="47">
        <v>9.78E7</v>
      </c>
      <c r="S13" s="26">
        <v>1.771464E7</v>
      </c>
      <c r="T13" s="73" t="s">
        <v>75</v>
      </c>
      <c r="U13" s="74"/>
      <c r="V13" s="74"/>
      <c r="W13" s="74"/>
      <c r="X13" s="74"/>
      <c r="Y13" s="74"/>
      <c r="Z13" s="74"/>
    </row>
    <row r="14">
      <c r="A14" s="23" t="s">
        <v>32</v>
      </c>
      <c r="B14" s="23" t="s">
        <v>140</v>
      </c>
      <c r="C14" s="19" t="s">
        <v>191</v>
      </c>
      <c r="D14" s="30" t="s">
        <v>192</v>
      </c>
      <c r="E14" s="23" t="s">
        <v>145</v>
      </c>
      <c r="F14" s="19" t="s">
        <v>193</v>
      </c>
      <c r="G14" s="23" t="s">
        <v>181</v>
      </c>
      <c r="H14" s="23" t="s">
        <v>132</v>
      </c>
      <c r="I14" s="23" t="s">
        <v>133</v>
      </c>
      <c r="J14" s="23" t="str">
        <f t="shared" si="1"/>
        <v>A</v>
      </c>
      <c r="K14" s="71"/>
      <c r="L14" s="71"/>
      <c r="M14" s="23" t="str">
        <f t="shared" si="2"/>
        <v/>
      </c>
      <c r="N14" s="19" t="s">
        <v>194</v>
      </c>
      <c r="O14" s="19"/>
      <c r="P14" s="75" t="s">
        <v>77</v>
      </c>
      <c r="Q14" s="19" t="s">
        <v>195</v>
      </c>
      <c r="R14" s="47">
        <v>1.054E8</v>
      </c>
      <c r="S14" s="26">
        <v>1.4171712E7</v>
      </c>
      <c r="T14" s="73" t="s">
        <v>81</v>
      </c>
      <c r="U14" s="74"/>
      <c r="V14" s="74"/>
      <c r="W14" s="74"/>
      <c r="X14" s="74"/>
      <c r="Y14" s="74"/>
      <c r="Z14" s="74"/>
    </row>
    <row r="15">
      <c r="A15" s="23" t="s">
        <v>38</v>
      </c>
      <c r="B15" s="23" t="s">
        <v>146</v>
      </c>
      <c r="C15" s="19" t="s">
        <v>196</v>
      </c>
      <c r="D15" s="30" t="s">
        <v>197</v>
      </c>
      <c r="E15" s="23" t="s">
        <v>145</v>
      </c>
      <c r="F15" s="19" t="s">
        <v>198</v>
      </c>
      <c r="G15" s="23" t="s">
        <v>199</v>
      </c>
      <c r="H15" s="23" t="s">
        <v>132</v>
      </c>
      <c r="I15" s="23" t="s">
        <v>138</v>
      </c>
      <c r="J15" s="23" t="str">
        <f t="shared" si="1"/>
        <v>A</v>
      </c>
      <c r="K15" s="71"/>
      <c r="L15" s="71"/>
      <c r="M15" s="23" t="str">
        <f t="shared" si="2"/>
        <v/>
      </c>
      <c r="N15" s="19" t="s">
        <v>200</v>
      </c>
      <c r="O15" s="19"/>
      <c r="P15" s="72" t="s">
        <v>83</v>
      </c>
      <c r="Q15" s="19" t="s">
        <v>183</v>
      </c>
      <c r="R15" s="47">
        <v>3.968E8</v>
      </c>
      <c r="S15" s="26">
        <v>1.0628784E7</v>
      </c>
      <c r="T15" s="73" t="s">
        <v>87</v>
      </c>
      <c r="U15" s="74"/>
      <c r="V15" s="74"/>
      <c r="W15" s="74"/>
      <c r="X15" s="74"/>
      <c r="Y15" s="74"/>
      <c r="Z15" s="74"/>
    </row>
    <row r="16">
      <c r="A16" s="23" t="s">
        <v>41</v>
      </c>
      <c r="B16" s="23" t="s">
        <v>140</v>
      </c>
      <c r="C16" s="19" t="s">
        <v>201</v>
      </c>
      <c r="D16" s="30" t="s">
        <v>202</v>
      </c>
      <c r="E16" s="23" t="s">
        <v>145</v>
      </c>
      <c r="F16" s="19" t="s">
        <v>203</v>
      </c>
      <c r="G16" s="23" t="s">
        <v>204</v>
      </c>
      <c r="H16" s="23" t="s">
        <v>132</v>
      </c>
      <c r="I16" s="23" t="s">
        <v>133</v>
      </c>
      <c r="J16" s="23" t="str">
        <f t="shared" si="1"/>
        <v>A</v>
      </c>
      <c r="K16" s="71"/>
      <c r="L16" s="71"/>
      <c r="M16" s="23" t="str">
        <f t="shared" si="2"/>
        <v/>
      </c>
      <c r="N16" s="19" t="s">
        <v>205</v>
      </c>
      <c r="O16" s="19"/>
      <c r="P16" s="72" t="s">
        <v>91</v>
      </c>
      <c r="Q16" s="19" t="s">
        <v>183</v>
      </c>
      <c r="R16" s="47">
        <v>3.968E8</v>
      </c>
      <c r="S16" s="26">
        <v>2.1257568E7</v>
      </c>
      <c r="T16" s="73" t="s">
        <v>93</v>
      </c>
      <c r="U16" s="74"/>
      <c r="V16" s="74"/>
      <c r="W16" s="74"/>
      <c r="X16" s="74"/>
      <c r="Y16" s="74"/>
      <c r="Z16" s="74"/>
    </row>
    <row r="17">
      <c r="A17" s="23" t="s">
        <v>46</v>
      </c>
      <c r="B17" s="23" t="s">
        <v>140</v>
      </c>
      <c r="C17" s="19" t="s">
        <v>206</v>
      </c>
      <c r="D17" s="30" t="s">
        <v>207</v>
      </c>
      <c r="E17" s="23" t="s">
        <v>145</v>
      </c>
      <c r="F17" s="19" t="s">
        <v>208</v>
      </c>
      <c r="G17" s="23" t="s">
        <v>209</v>
      </c>
      <c r="H17" s="23" t="s">
        <v>138</v>
      </c>
      <c r="I17" s="23" t="s">
        <v>133</v>
      </c>
      <c r="J17" s="23" t="str">
        <f t="shared" si="1"/>
        <v>A</v>
      </c>
      <c r="K17" s="71"/>
      <c r="L17" s="71"/>
      <c r="M17" s="23" t="str">
        <f t="shared" si="2"/>
        <v/>
      </c>
      <c r="N17" s="19" t="s">
        <v>210</v>
      </c>
      <c r="O17" s="19"/>
      <c r="P17" s="72" t="s">
        <v>94</v>
      </c>
      <c r="Q17" s="19" t="s">
        <v>195</v>
      </c>
      <c r="R17" s="47">
        <v>1.054E8</v>
      </c>
      <c r="S17" s="26">
        <v>1.4171712E7</v>
      </c>
      <c r="T17" s="73" t="s">
        <v>96</v>
      </c>
      <c r="U17" s="74"/>
      <c r="V17" s="74"/>
      <c r="W17" s="74"/>
      <c r="X17" s="74"/>
      <c r="Y17" s="74"/>
      <c r="Z17" s="74"/>
    </row>
    <row r="18">
      <c r="A18" s="23" t="s">
        <v>49</v>
      </c>
      <c r="B18" s="23" t="s">
        <v>140</v>
      </c>
      <c r="C18" s="19" t="s">
        <v>211</v>
      </c>
      <c r="D18" s="30" t="s">
        <v>212</v>
      </c>
      <c r="E18" s="23" t="s">
        <v>145</v>
      </c>
      <c r="F18" s="19" t="s">
        <v>213</v>
      </c>
      <c r="G18" s="23" t="s">
        <v>214</v>
      </c>
      <c r="H18" s="23" t="s">
        <v>138</v>
      </c>
      <c r="I18" s="23" t="s">
        <v>138</v>
      </c>
      <c r="J18" s="23" t="str">
        <f t="shared" si="1"/>
        <v>B</v>
      </c>
      <c r="K18" s="71"/>
      <c r="L18" s="71"/>
      <c r="M18" s="23" t="str">
        <f t="shared" si="2"/>
        <v/>
      </c>
      <c r="N18" s="19" t="s">
        <v>215</v>
      </c>
      <c r="O18" s="19"/>
      <c r="P18" s="72" t="s">
        <v>100</v>
      </c>
      <c r="Q18" s="19" t="s">
        <v>195</v>
      </c>
      <c r="R18" s="47">
        <v>1.054E8</v>
      </c>
      <c r="S18" s="26">
        <v>8857320.0</v>
      </c>
      <c r="T18" s="73" t="s">
        <v>103</v>
      </c>
      <c r="U18" s="74"/>
      <c r="V18" s="74"/>
      <c r="W18" s="74"/>
      <c r="X18" s="74"/>
      <c r="Y18" s="74"/>
      <c r="Z18" s="74"/>
    </row>
    <row r="19">
      <c r="A19" s="23" t="s">
        <v>53</v>
      </c>
      <c r="B19" s="23" t="s">
        <v>135</v>
      </c>
      <c r="C19" s="19" t="s">
        <v>216</v>
      </c>
      <c r="D19" s="30" t="s">
        <v>217</v>
      </c>
      <c r="E19" s="23" t="s">
        <v>145</v>
      </c>
      <c r="F19" s="19" t="s">
        <v>218</v>
      </c>
      <c r="G19" s="23" t="s">
        <v>219</v>
      </c>
      <c r="H19" s="23" t="s">
        <v>138</v>
      </c>
      <c r="I19" s="23" t="s">
        <v>133</v>
      </c>
      <c r="J19" s="23" t="str">
        <f t="shared" si="1"/>
        <v>A</v>
      </c>
      <c r="K19" s="71"/>
      <c r="L19" s="71"/>
      <c r="M19" s="23" t="str">
        <f t="shared" si="2"/>
        <v/>
      </c>
      <c r="N19" s="19" t="s">
        <v>220</v>
      </c>
      <c r="O19" s="19"/>
      <c r="P19" s="72" t="s">
        <v>105</v>
      </c>
      <c r="Q19" s="19" t="s">
        <v>183</v>
      </c>
      <c r="R19" s="47">
        <v>3.968E8</v>
      </c>
      <c r="S19" s="26">
        <v>8857320.0</v>
      </c>
      <c r="T19" s="73" t="s">
        <v>106</v>
      </c>
      <c r="U19" s="74"/>
      <c r="V19" s="74"/>
      <c r="W19" s="74"/>
      <c r="X19" s="74"/>
      <c r="Y19" s="74"/>
      <c r="Z19" s="74"/>
    </row>
    <row r="20">
      <c r="A20" s="23" t="s">
        <v>57</v>
      </c>
      <c r="B20" s="23" t="s">
        <v>135</v>
      </c>
      <c r="C20" s="19" t="s">
        <v>221</v>
      </c>
      <c r="D20" s="30" t="s">
        <v>222</v>
      </c>
      <c r="E20" s="23" t="s">
        <v>145</v>
      </c>
      <c r="F20" s="19" t="s">
        <v>223</v>
      </c>
      <c r="G20" s="23" t="s">
        <v>224</v>
      </c>
      <c r="H20" s="23" t="s">
        <v>138</v>
      </c>
      <c r="I20" s="23" t="s">
        <v>133</v>
      </c>
      <c r="J20" s="23" t="str">
        <f t="shared" si="1"/>
        <v>A</v>
      </c>
      <c r="K20" s="71"/>
      <c r="L20" s="71"/>
      <c r="M20" s="23" t="str">
        <f t="shared" si="2"/>
        <v/>
      </c>
      <c r="N20" s="19" t="s">
        <v>225</v>
      </c>
      <c r="O20" s="19"/>
      <c r="P20" s="72" t="s">
        <v>108</v>
      </c>
      <c r="Q20" s="19" t="s">
        <v>226</v>
      </c>
      <c r="R20" s="47">
        <v>1.715E8</v>
      </c>
      <c r="S20" s="26">
        <v>2.1257568E7</v>
      </c>
      <c r="T20" s="73" t="s">
        <v>110</v>
      </c>
      <c r="U20" s="74"/>
      <c r="V20" s="74"/>
      <c r="W20" s="74"/>
      <c r="X20" s="74"/>
      <c r="Y20" s="74"/>
      <c r="Z20" s="74"/>
    </row>
    <row r="21">
      <c r="A21" s="23" t="s">
        <v>59</v>
      </c>
      <c r="B21" s="23" t="s">
        <v>140</v>
      </c>
      <c r="C21" s="30" t="s">
        <v>227</v>
      </c>
      <c r="D21" s="30" t="s">
        <v>228</v>
      </c>
      <c r="E21" s="23" t="s">
        <v>145</v>
      </c>
      <c r="F21" s="19" t="s">
        <v>229</v>
      </c>
      <c r="G21" s="23" t="s">
        <v>230</v>
      </c>
      <c r="H21" s="23" t="s">
        <v>138</v>
      </c>
      <c r="I21" s="23" t="s">
        <v>133</v>
      </c>
      <c r="J21" s="23" t="str">
        <f t="shared" si="1"/>
        <v>A</v>
      </c>
      <c r="K21" s="71"/>
      <c r="L21" s="71"/>
      <c r="M21" s="23" t="str">
        <f t="shared" si="2"/>
        <v/>
      </c>
      <c r="N21" s="19" t="s">
        <v>231</v>
      </c>
      <c r="O21" s="19"/>
      <c r="P21" s="72" t="s">
        <v>112</v>
      </c>
      <c r="Q21" s="19" t="s">
        <v>226</v>
      </c>
      <c r="R21" s="47">
        <v>1.715E8</v>
      </c>
      <c r="S21" s="26">
        <v>1.771464E7</v>
      </c>
      <c r="T21" s="73" t="s">
        <v>113</v>
      </c>
      <c r="U21" s="74"/>
      <c r="V21" s="74"/>
      <c r="W21" s="74"/>
      <c r="X21" s="74"/>
      <c r="Y21" s="74"/>
      <c r="Z21" s="74"/>
    </row>
    <row r="22">
      <c r="A22" s="23" t="s">
        <v>65</v>
      </c>
      <c r="B22" s="23" t="s">
        <v>146</v>
      </c>
      <c r="C22" s="19" t="s">
        <v>232</v>
      </c>
      <c r="D22" s="30" t="s">
        <v>233</v>
      </c>
      <c r="E22" s="23" t="s">
        <v>145</v>
      </c>
      <c r="F22" s="19" t="s">
        <v>234</v>
      </c>
      <c r="G22" s="23" t="s">
        <v>235</v>
      </c>
      <c r="H22" s="23" t="s">
        <v>138</v>
      </c>
      <c r="I22" s="23" t="s">
        <v>133</v>
      </c>
      <c r="J22" s="23" t="str">
        <f t="shared" si="1"/>
        <v>A</v>
      </c>
      <c r="K22" s="71"/>
      <c r="L22" s="71"/>
      <c r="M22" s="23" t="str">
        <f t="shared" si="2"/>
        <v/>
      </c>
      <c r="N22" s="19" t="s">
        <v>236</v>
      </c>
      <c r="O22" s="19"/>
      <c r="P22" s="72" t="s">
        <v>116</v>
      </c>
      <c r="Q22" s="19" t="s">
        <v>226</v>
      </c>
      <c r="R22" s="47">
        <v>1.715E8</v>
      </c>
      <c r="S22" s="26">
        <v>1.0628784E7</v>
      </c>
      <c r="T22" s="73" t="s">
        <v>117</v>
      </c>
      <c r="U22" s="74"/>
      <c r="V22" s="74"/>
      <c r="W22" s="74"/>
      <c r="X22" s="74"/>
      <c r="Y22" s="74"/>
      <c r="Z22" s="74"/>
    </row>
    <row r="23">
      <c r="A23" s="23" t="s">
        <v>67</v>
      </c>
      <c r="B23" s="23" t="s">
        <v>135</v>
      </c>
      <c r="C23" s="19" t="s">
        <v>237</v>
      </c>
      <c r="D23" s="30" t="s">
        <v>238</v>
      </c>
      <c r="E23" s="23" t="s">
        <v>145</v>
      </c>
      <c r="F23" s="19" t="s">
        <v>239</v>
      </c>
      <c r="G23" s="23" t="s">
        <v>240</v>
      </c>
      <c r="H23" s="23" t="s">
        <v>138</v>
      </c>
      <c r="I23" s="23" t="s">
        <v>133</v>
      </c>
      <c r="J23" s="23" t="str">
        <f t="shared" si="1"/>
        <v>A</v>
      </c>
      <c r="K23" s="71"/>
      <c r="L23" s="71"/>
      <c r="M23" s="23" t="str">
        <f t="shared" si="2"/>
        <v/>
      </c>
      <c r="N23" s="19" t="s">
        <v>241</v>
      </c>
      <c r="O23" s="19"/>
      <c r="P23" s="72" t="s">
        <v>119</v>
      </c>
      <c r="Q23" s="19" t="s">
        <v>242</v>
      </c>
      <c r="R23" s="47">
        <v>9.13E7</v>
      </c>
      <c r="S23" s="26">
        <v>1.4171712E7</v>
      </c>
      <c r="T23" s="73" t="s">
        <v>120</v>
      </c>
      <c r="U23" s="74"/>
      <c r="V23" s="74"/>
      <c r="W23" s="74"/>
      <c r="X23" s="74"/>
      <c r="Y23" s="74"/>
      <c r="Z23" s="74"/>
    </row>
    <row r="24" ht="27.75" customHeight="1">
      <c r="A24" s="71"/>
      <c r="B24" s="71"/>
      <c r="C24" s="76"/>
      <c r="D24" s="76"/>
      <c r="E24" s="71"/>
      <c r="F24" s="76"/>
      <c r="G24" s="71"/>
      <c r="H24" s="71"/>
      <c r="I24" s="71"/>
      <c r="J24" s="71" t="str">
        <f t="shared" si="1"/>
        <v/>
      </c>
      <c r="K24" s="71"/>
      <c r="L24" s="71"/>
      <c r="M24" s="71" t="str">
        <f t="shared" si="2"/>
        <v/>
      </c>
      <c r="N24" s="76"/>
      <c r="O24" s="76"/>
      <c r="P24" s="77"/>
      <c r="Q24" s="71"/>
      <c r="R24" s="78"/>
      <c r="S24" s="78"/>
      <c r="T24" s="78"/>
      <c r="U24" s="74"/>
      <c r="V24" s="74"/>
      <c r="W24" s="74"/>
      <c r="X24" s="74"/>
      <c r="Y24" s="74"/>
      <c r="Z24" s="74"/>
    </row>
    <row r="25" ht="27.75" customHeight="1">
      <c r="A25" s="79"/>
      <c r="B25" s="79"/>
      <c r="C25" s="79"/>
      <c r="D25" s="79"/>
      <c r="E25" s="80"/>
      <c r="F25" s="79"/>
      <c r="G25" s="79"/>
      <c r="H25" s="79"/>
      <c r="I25" s="79"/>
      <c r="J25" s="79" t="str">
        <f t="shared" si="1"/>
        <v/>
      </c>
      <c r="K25" s="79"/>
      <c r="L25" s="79"/>
      <c r="M25" s="79" t="str">
        <f t="shared" si="2"/>
        <v/>
      </c>
      <c r="N25" s="79"/>
      <c r="O25" s="79"/>
      <c r="P25" s="81"/>
      <c r="Q25" s="81"/>
      <c r="R25" s="81"/>
      <c r="S25" s="82"/>
      <c r="T25" s="81"/>
      <c r="U25" s="74"/>
      <c r="V25" s="74"/>
      <c r="W25" s="74"/>
      <c r="X25" s="74"/>
      <c r="Y25" s="74"/>
      <c r="Z25" s="74"/>
    </row>
    <row r="26" ht="27.75" customHeight="1">
      <c r="A26" s="79"/>
      <c r="B26" s="79"/>
      <c r="C26" s="79"/>
      <c r="D26" s="79"/>
      <c r="E26" s="80"/>
      <c r="F26" s="79"/>
      <c r="G26" s="79"/>
      <c r="H26" s="79"/>
      <c r="I26" s="79"/>
      <c r="J26" s="79" t="str">
        <f t="shared" si="1"/>
        <v/>
      </c>
      <c r="K26" s="79"/>
      <c r="L26" s="79"/>
      <c r="M26" s="79" t="str">
        <f t="shared" si="2"/>
        <v/>
      </c>
      <c r="N26" s="79"/>
      <c r="O26" s="79"/>
      <c r="P26" s="81"/>
      <c r="Q26" s="81"/>
      <c r="R26" s="81"/>
      <c r="S26" s="82"/>
      <c r="T26" s="81"/>
      <c r="U26" s="74"/>
      <c r="V26" s="74"/>
      <c r="W26" s="74"/>
      <c r="X26" s="74"/>
      <c r="Y26" s="74"/>
      <c r="Z26" s="74"/>
    </row>
    <row r="27" ht="27.75" customHeight="1">
      <c r="A27" s="79"/>
      <c r="B27" s="79"/>
      <c r="C27" s="79"/>
      <c r="D27" s="79"/>
      <c r="E27" s="80"/>
      <c r="F27" s="79"/>
      <c r="G27" s="79"/>
      <c r="H27" s="79"/>
      <c r="I27" s="79"/>
      <c r="J27" s="79" t="str">
        <f t="shared" si="1"/>
        <v/>
      </c>
      <c r="K27" s="79"/>
      <c r="L27" s="79"/>
      <c r="M27" s="79" t="str">
        <f t="shared" si="2"/>
        <v/>
      </c>
      <c r="N27" s="79"/>
      <c r="O27" s="79"/>
      <c r="P27" s="81"/>
      <c r="Q27" s="81"/>
      <c r="R27" s="81"/>
      <c r="S27" s="82"/>
      <c r="T27" s="81"/>
      <c r="U27" s="74"/>
      <c r="V27" s="74"/>
      <c r="W27" s="74"/>
      <c r="X27" s="74"/>
      <c r="Y27" s="74"/>
      <c r="Z27" s="74"/>
    </row>
    <row r="28" ht="27.75" customHeight="1">
      <c r="A28" s="76"/>
      <c r="B28" s="76"/>
      <c r="C28" s="76"/>
      <c r="D28" s="76"/>
      <c r="E28" s="71"/>
      <c r="F28" s="76"/>
      <c r="G28" s="76"/>
      <c r="H28" s="76"/>
      <c r="I28" s="76"/>
      <c r="J28" s="83" t="str">
        <f t="shared" si="1"/>
        <v/>
      </c>
      <c r="K28" s="76"/>
      <c r="L28" s="76"/>
      <c r="M28" s="83" t="str">
        <f t="shared" si="2"/>
        <v/>
      </c>
      <c r="N28" s="76"/>
      <c r="O28" s="76"/>
      <c r="P28" s="54"/>
      <c r="Q28" s="54"/>
      <c r="R28" s="54"/>
      <c r="S28" s="84"/>
      <c r="T28" s="54"/>
    </row>
    <row r="29" ht="27.75" customHeight="1">
      <c r="A29" s="76"/>
      <c r="B29" s="76"/>
      <c r="C29" s="76"/>
      <c r="D29" s="76"/>
      <c r="E29" s="71"/>
      <c r="F29" s="76"/>
      <c r="G29" s="76"/>
      <c r="H29" s="76"/>
      <c r="I29" s="76"/>
      <c r="J29" s="83"/>
      <c r="K29" s="76"/>
      <c r="L29" s="76"/>
      <c r="M29" s="83"/>
      <c r="N29" s="76"/>
      <c r="O29" s="76"/>
      <c r="P29" s="54"/>
      <c r="Q29" s="54"/>
      <c r="R29" s="54"/>
      <c r="S29" s="84"/>
      <c r="T29" s="54"/>
    </row>
    <row r="30" ht="27.75" customHeight="1">
      <c r="A30" s="76"/>
      <c r="B30" s="76"/>
      <c r="C30" s="76"/>
      <c r="D30" s="76"/>
      <c r="E30" s="71"/>
      <c r="F30" s="76"/>
      <c r="G30" s="76"/>
      <c r="H30" s="76"/>
      <c r="I30" s="76"/>
      <c r="J30" s="83"/>
      <c r="K30" s="76"/>
      <c r="L30" s="76"/>
      <c r="M30" s="83"/>
      <c r="N30" s="76"/>
      <c r="O30" s="76"/>
      <c r="P30" s="54"/>
      <c r="Q30" s="54"/>
      <c r="R30" s="54"/>
      <c r="S30" s="84"/>
      <c r="T30" s="54"/>
    </row>
    <row r="31" ht="54.75" customHeight="1">
      <c r="A31" s="85" t="s">
        <v>243</v>
      </c>
      <c r="B31" s="24"/>
      <c r="C31" s="24"/>
      <c r="D31" s="24"/>
      <c r="E31" s="24"/>
      <c r="F31" s="24"/>
      <c r="G31" s="24"/>
      <c r="H31" s="24"/>
      <c r="I31" s="24"/>
      <c r="J31" s="24"/>
      <c r="K31" s="24"/>
      <c r="L31" s="24"/>
      <c r="M31" s="24"/>
      <c r="N31" s="24"/>
      <c r="O31" s="24"/>
      <c r="P31" s="24"/>
      <c r="Q31" s="24"/>
      <c r="R31" s="24"/>
      <c r="S31" s="24"/>
      <c r="T31" s="25"/>
    </row>
    <row r="32" ht="27.75" customHeight="1">
      <c r="A32" s="76"/>
      <c r="B32" s="76"/>
      <c r="C32" s="76"/>
      <c r="D32" s="76"/>
      <c r="E32" s="71"/>
      <c r="F32" s="76"/>
      <c r="G32" s="76"/>
      <c r="H32" s="76"/>
      <c r="I32" s="76"/>
      <c r="J32" s="83"/>
      <c r="K32" s="76"/>
      <c r="L32" s="76"/>
      <c r="M32" s="83"/>
      <c r="N32" s="76"/>
      <c r="O32" s="76"/>
      <c r="P32" s="54"/>
      <c r="Q32" s="54"/>
      <c r="R32" s="54"/>
      <c r="S32" s="84"/>
      <c r="T32" s="54"/>
    </row>
    <row r="33" ht="48.0" customHeight="1">
      <c r="A33" s="86"/>
    </row>
    <row r="34" ht="27.75" customHeight="1">
      <c r="A34" s="76"/>
      <c r="B34" s="76"/>
      <c r="C34" s="76"/>
      <c r="D34" s="76"/>
      <c r="E34" s="71"/>
      <c r="F34" s="76"/>
      <c r="G34" s="76"/>
      <c r="H34" s="76"/>
      <c r="I34" s="76"/>
      <c r="J34" s="87"/>
      <c r="K34" s="76"/>
      <c r="L34" s="76"/>
      <c r="M34" s="87"/>
      <c r="N34" s="76"/>
      <c r="O34" s="76"/>
    </row>
    <row r="35" ht="60.0" customHeight="1">
      <c r="A35" s="86"/>
    </row>
    <row r="36" ht="27.75" customHeight="1">
      <c r="A36" s="76"/>
      <c r="B36" s="76"/>
      <c r="C36" s="76"/>
      <c r="D36" s="76"/>
      <c r="E36" s="71"/>
      <c r="F36" s="76"/>
      <c r="G36" s="76"/>
      <c r="H36" s="76"/>
      <c r="I36" s="76"/>
      <c r="J36" s="87"/>
      <c r="K36" s="76"/>
      <c r="L36" s="76"/>
      <c r="M36" s="87"/>
      <c r="N36" s="76"/>
      <c r="O36" s="76"/>
    </row>
    <row r="37" ht="27.75" customHeight="1">
      <c r="A37" s="76"/>
      <c r="B37" s="76"/>
      <c r="C37" s="76"/>
      <c r="D37" s="76"/>
      <c r="E37" s="71"/>
      <c r="F37" s="76"/>
      <c r="G37" s="76"/>
      <c r="H37" s="76"/>
      <c r="I37" s="76"/>
      <c r="J37" s="87"/>
      <c r="K37" s="76"/>
      <c r="L37" s="76"/>
      <c r="M37" s="87"/>
      <c r="N37" s="76"/>
      <c r="O37" s="76"/>
    </row>
    <row r="38" ht="27.75" customHeight="1">
      <c r="A38" s="76"/>
      <c r="B38" s="76"/>
      <c r="C38" s="76"/>
      <c r="D38" s="76"/>
      <c r="E38" s="71"/>
      <c r="F38" s="76"/>
      <c r="G38" s="76"/>
      <c r="H38" s="76"/>
      <c r="I38" s="76"/>
      <c r="J38" s="87"/>
      <c r="K38" s="76"/>
      <c r="L38" s="76"/>
      <c r="M38" s="87"/>
      <c r="N38" s="76"/>
      <c r="O38" s="76"/>
    </row>
    <row r="39" ht="27.75" customHeight="1">
      <c r="A39" s="76"/>
      <c r="B39" s="76"/>
      <c r="C39" s="76"/>
      <c r="D39" s="76"/>
      <c r="E39" s="71"/>
      <c r="F39" s="76"/>
      <c r="G39" s="76"/>
      <c r="H39" s="76"/>
      <c r="I39" s="76"/>
      <c r="J39" s="87"/>
      <c r="K39" s="76"/>
      <c r="L39" s="76"/>
      <c r="M39" s="87"/>
      <c r="N39" s="76"/>
      <c r="O39" s="76"/>
    </row>
    <row r="40" ht="27.75" customHeight="1">
      <c r="A40" s="76"/>
      <c r="B40" s="76"/>
      <c r="C40" s="76"/>
      <c r="D40" s="76"/>
      <c r="E40" s="71"/>
      <c r="F40" s="76"/>
      <c r="G40" s="76"/>
      <c r="H40" s="76"/>
      <c r="I40" s="76"/>
      <c r="J40" s="87"/>
      <c r="K40" s="76"/>
      <c r="L40" s="76"/>
      <c r="M40" s="87"/>
      <c r="N40" s="76"/>
      <c r="O40" s="76"/>
    </row>
    <row r="41" ht="27.75" customHeight="1">
      <c r="A41" s="76"/>
      <c r="B41" s="76"/>
      <c r="C41" s="76"/>
      <c r="D41" s="76"/>
      <c r="E41" s="71"/>
      <c r="F41" s="76"/>
      <c r="G41" s="76"/>
      <c r="H41" s="76"/>
      <c r="I41" s="76"/>
      <c r="J41" s="87"/>
      <c r="K41" s="76"/>
      <c r="L41" s="76"/>
      <c r="M41" s="87"/>
      <c r="N41" s="76"/>
      <c r="O41" s="76"/>
    </row>
    <row r="42" ht="15.75" customHeight="1">
      <c r="E42" s="60"/>
    </row>
    <row r="43" ht="15.75" customHeight="1">
      <c r="A43" s="88"/>
    </row>
    <row r="44" ht="15.75" customHeight="1">
      <c r="E44" s="60"/>
    </row>
    <row r="45" ht="15.75" customHeight="1">
      <c r="E45" s="60"/>
    </row>
    <row r="46" ht="15.75" customHeight="1">
      <c r="E46" s="60"/>
    </row>
    <row r="47" ht="15.75" customHeight="1">
      <c r="E47" s="60"/>
    </row>
    <row r="48" ht="15.75" customHeight="1">
      <c r="E48" s="60"/>
    </row>
    <row r="49" ht="15.75" customHeight="1">
      <c r="E49" s="60"/>
    </row>
    <row r="50" ht="15.75" customHeight="1">
      <c r="E50" s="60"/>
    </row>
    <row r="51" ht="15.75" customHeight="1">
      <c r="E51" s="60"/>
    </row>
    <row r="52" ht="15.75" customHeight="1">
      <c r="E52" s="60"/>
    </row>
    <row r="53" ht="15.75" customHeight="1">
      <c r="E53" s="60"/>
    </row>
    <row r="54" ht="15.75" customHeight="1">
      <c r="E54" s="60"/>
    </row>
    <row r="55" ht="15.75" customHeight="1">
      <c r="E55" s="60"/>
    </row>
    <row r="56" ht="15.75" customHeight="1">
      <c r="E56" s="60"/>
    </row>
    <row r="57" ht="15.75" customHeight="1">
      <c r="E57" s="60"/>
    </row>
    <row r="58" ht="15.75" customHeight="1">
      <c r="E58" s="60"/>
    </row>
    <row r="59" ht="15.75" customHeight="1">
      <c r="E59" s="60"/>
    </row>
    <row r="60" ht="15.75" customHeight="1">
      <c r="E60" s="60"/>
    </row>
    <row r="61" ht="15.75" customHeight="1">
      <c r="E61" s="60"/>
    </row>
    <row r="62" ht="15.75" customHeight="1">
      <c r="E62" s="60"/>
    </row>
    <row r="63" ht="15.75" customHeight="1">
      <c r="E63" s="60"/>
    </row>
    <row r="64" ht="15.75" customHeight="1">
      <c r="E64" s="60"/>
    </row>
    <row r="65" ht="15.75" customHeight="1">
      <c r="E65" s="60"/>
    </row>
    <row r="66" ht="15.75" customHeight="1">
      <c r="E66" s="60"/>
    </row>
    <row r="67" ht="15.75" customHeight="1">
      <c r="E67" s="60"/>
    </row>
    <row r="68" ht="15.75" customHeight="1">
      <c r="E68" s="60"/>
    </row>
    <row r="69" ht="15.75" customHeight="1">
      <c r="E69" s="60"/>
    </row>
    <row r="70" ht="15.75" customHeight="1">
      <c r="E70" s="60"/>
    </row>
    <row r="71" ht="15.75" customHeight="1">
      <c r="E71" s="60"/>
    </row>
    <row r="72" ht="15.75" customHeight="1">
      <c r="E72" s="60"/>
    </row>
    <row r="73" ht="15.75" customHeight="1">
      <c r="E73" s="60"/>
    </row>
    <row r="74" ht="15.75" customHeight="1">
      <c r="E74" s="60"/>
    </row>
    <row r="75" ht="15.75" customHeight="1">
      <c r="E75" s="60"/>
    </row>
    <row r="76" ht="15.75" customHeight="1">
      <c r="E76" s="60"/>
    </row>
    <row r="77" ht="15.75" customHeight="1">
      <c r="E77" s="60"/>
    </row>
    <row r="78" ht="15.75" customHeight="1">
      <c r="E78" s="60"/>
    </row>
    <row r="79" ht="15.75" customHeight="1">
      <c r="E79" s="60"/>
    </row>
    <row r="80" ht="15.75" customHeight="1">
      <c r="E80" s="60"/>
    </row>
    <row r="81" ht="15.75" customHeight="1">
      <c r="E81" s="60"/>
    </row>
    <row r="82" ht="15.75" customHeight="1">
      <c r="E82" s="60"/>
    </row>
    <row r="83" ht="15.75" customHeight="1">
      <c r="E83" s="60"/>
    </row>
    <row r="84" ht="15.75" customHeight="1">
      <c r="E84" s="60"/>
    </row>
    <row r="85" ht="15.75" customHeight="1">
      <c r="E85" s="60"/>
    </row>
    <row r="86" ht="15.75" customHeight="1">
      <c r="E86" s="60"/>
    </row>
    <row r="87" ht="15.75" customHeight="1">
      <c r="E87" s="60"/>
    </row>
    <row r="88" ht="15.75" customHeight="1">
      <c r="E88" s="60"/>
    </row>
    <row r="89" ht="15.75" customHeight="1">
      <c r="E89" s="60"/>
    </row>
    <row r="90" ht="15.75" customHeight="1">
      <c r="E90" s="60"/>
    </row>
    <row r="91" ht="15.75" customHeight="1">
      <c r="E91" s="60"/>
    </row>
    <row r="92" ht="15.75" customHeight="1">
      <c r="E92" s="60"/>
    </row>
    <row r="93" ht="15.75" customHeight="1">
      <c r="E93" s="60"/>
    </row>
    <row r="94" ht="15.75" customHeight="1">
      <c r="E94" s="60"/>
    </row>
    <row r="95" ht="15.75" customHeight="1">
      <c r="E95" s="60"/>
    </row>
    <row r="96" ht="15.75" customHeight="1">
      <c r="E96" s="60"/>
    </row>
    <row r="97" ht="15.75" customHeight="1">
      <c r="E97" s="60"/>
    </row>
    <row r="98" ht="15.75" customHeight="1">
      <c r="E98" s="60"/>
    </row>
    <row r="99" ht="15.75" customHeight="1">
      <c r="E99" s="60"/>
    </row>
    <row r="100" ht="15.75" customHeight="1">
      <c r="E100" s="60"/>
    </row>
    <row r="101" ht="15.75" customHeight="1">
      <c r="E101" s="60"/>
    </row>
    <row r="102" ht="15.75" customHeight="1">
      <c r="E102" s="60"/>
    </row>
    <row r="103" ht="15.75" customHeight="1">
      <c r="E103" s="60"/>
    </row>
    <row r="104" ht="15.75" customHeight="1">
      <c r="E104" s="60"/>
    </row>
    <row r="105" ht="15.75" customHeight="1">
      <c r="E105" s="60"/>
    </row>
    <row r="106" ht="15.75" customHeight="1">
      <c r="E106" s="60"/>
    </row>
    <row r="107" ht="15.75" customHeight="1">
      <c r="E107" s="60"/>
    </row>
    <row r="108" ht="15.75" customHeight="1">
      <c r="E108" s="60"/>
    </row>
    <row r="109" ht="15.75" customHeight="1">
      <c r="E109" s="60"/>
    </row>
    <row r="110" ht="15.75" customHeight="1">
      <c r="E110" s="60"/>
    </row>
    <row r="111" ht="15.75" customHeight="1">
      <c r="E111" s="60"/>
    </row>
    <row r="112" ht="15.75" customHeight="1">
      <c r="E112" s="60"/>
    </row>
    <row r="113" ht="15.75" customHeight="1">
      <c r="E113" s="60"/>
    </row>
    <row r="114" ht="15.75" customHeight="1">
      <c r="E114" s="60"/>
    </row>
    <row r="115" ht="15.75" customHeight="1">
      <c r="E115" s="60"/>
    </row>
    <row r="116" ht="15.75" customHeight="1">
      <c r="E116" s="60"/>
    </row>
    <row r="117" ht="15.75" customHeight="1">
      <c r="E117" s="60"/>
    </row>
    <row r="118" ht="15.75" customHeight="1">
      <c r="E118" s="60"/>
    </row>
    <row r="119" ht="15.75" customHeight="1">
      <c r="E119" s="60"/>
    </row>
    <row r="120" ht="15.75" customHeight="1">
      <c r="E120" s="60"/>
    </row>
    <row r="121" ht="15.75" customHeight="1">
      <c r="E121" s="60"/>
    </row>
    <row r="122" ht="15.75" customHeight="1">
      <c r="E122" s="60"/>
    </row>
    <row r="123" ht="15.75" customHeight="1">
      <c r="E123" s="60"/>
    </row>
    <row r="124" ht="15.75" customHeight="1">
      <c r="E124" s="60"/>
    </row>
    <row r="125" ht="15.75" customHeight="1">
      <c r="E125" s="60"/>
    </row>
    <row r="126" ht="15.75" customHeight="1">
      <c r="E126" s="60"/>
    </row>
    <row r="127" ht="15.75" customHeight="1">
      <c r="E127" s="60"/>
    </row>
    <row r="128" ht="15.75" customHeight="1">
      <c r="E128" s="60"/>
    </row>
    <row r="129" ht="15.75" customHeight="1">
      <c r="E129" s="60"/>
    </row>
    <row r="130" ht="15.75" customHeight="1">
      <c r="E130" s="60"/>
    </row>
    <row r="131" ht="15.75" customHeight="1">
      <c r="E131" s="60"/>
    </row>
    <row r="132" ht="15.75" customHeight="1">
      <c r="E132" s="60"/>
    </row>
    <row r="133" ht="15.75" customHeight="1">
      <c r="E133" s="60"/>
    </row>
    <row r="134" ht="15.75" customHeight="1">
      <c r="E134" s="60"/>
    </row>
    <row r="135" ht="15.75" customHeight="1">
      <c r="E135" s="60"/>
    </row>
    <row r="136" ht="15.75" customHeight="1">
      <c r="E136" s="60"/>
    </row>
    <row r="137" ht="15.75" customHeight="1">
      <c r="E137" s="60"/>
    </row>
    <row r="138" ht="15.75" customHeight="1">
      <c r="E138" s="60"/>
    </row>
    <row r="139" ht="15.75" customHeight="1">
      <c r="E139" s="60"/>
    </row>
    <row r="140" ht="15.75" customHeight="1">
      <c r="E140" s="60"/>
    </row>
    <row r="141" ht="15.75" customHeight="1">
      <c r="E141" s="60"/>
    </row>
    <row r="142" ht="15.75" customHeight="1">
      <c r="E142" s="60"/>
    </row>
    <row r="143" ht="15.75" customHeight="1">
      <c r="E143" s="60"/>
    </row>
    <row r="144" ht="15.75" customHeight="1">
      <c r="E144" s="60"/>
    </row>
    <row r="145" ht="15.75" customHeight="1">
      <c r="E145" s="60"/>
    </row>
    <row r="146" ht="15.75" customHeight="1">
      <c r="E146" s="60"/>
    </row>
    <row r="147" ht="15.75" customHeight="1">
      <c r="E147" s="60"/>
    </row>
    <row r="148" ht="15.75" customHeight="1">
      <c r="E148" s="60"/>
    </row>
    <row r="149" ht="15.75" customHeight="1">
      <c r="E149" s="60"/>
    </row>
    <row r="150" ht="15.75" customHeight="1">
      <c r="E150" s="60"/>
    </row>
    <row r="151" ht="15.75" customHeight="1">
      <c r="E151" s="60"/>
    </row>
    <row r="152" ht="15.75" customHeight="1">
      <c r="E152" s="60"/>
    </row>
    <row r="153" ht="15.75" customHeight="1">
      <c r="E153" s="60"/>
    </row>
    <row r="154" ht="15.75" customHeight="1">
      <c r="E154" s="60"/>
    </row>
    <row r="155" ht="15.75" customHeight="1">
      <c r="E155" s="60"/>
    </row>
    <row r="156" ht="15.75" customHeight="1">
      <c r="E156" s="60"/>
    </row>
    <row r="157" ht="15.75" customHeight="1">
      <c r="E157" s="60"/>
    </row>
    <row r="158" ht="15.75" customHeight="1">
      <c r="E158" s="60"/>
    </row>
    <row r="159" ht="15.75" customHeight="1">
      <c r="E159" s="60"/>
    </row>
    <row r="160" ht="15.75" customHeight="1">
      <c r="E160" s="60"/>
    </row>
    <row r="161" ht="15.75" customHeight="1">
      <c r="E161" s="60"/>
    </row>
    <row r="162" ht="15.75" customHeight="1">
      <c r="E162" s="60"/>
    </row>
    <row r="163" ht="15.75" customHeight="1">
      <c r="E163" s="60"/>
    </row>
    <row r="164" ht="15.75" customHeight="1">
      <c r="E164" s="60"/>
    </row>
    <row r="165" ht="15.75" customHeight="1">
      <c r="E165" s="60"/>
    </row>
    <row r="166" ht="15.75" customHeight="1">
      <c r="E166" s="60"/>
    </row>
    <row r="167" ht="15.75" customHeight="1">
      <c r="E167" s="60"/>
    </row>
    <row r="168" ht="15.75" customHeight="1">
      <c r="E168" s="60"/>
    </row>
    <row r="169" ht="15.75" customHeight="1">
      <c r="E169" s="60"/>
    </row>
    <row r="170" ht="15.75" customHeight="1">
      <c r="E170" s="60"/>
    </row>
    <row r="171" ht="15.75" customHeight="1">
      <c r="E171" s="60"/>
    </row>
    <row r="172" ht="15.75" customHeight="1">
      <c r="E172" s="60"/>
    </row>
    <row r="173" ht="15.75" customHeight="1">
      <c r="E173" s="60"/>
    </row>
    <row r="174" ht="15.75" customHeight="1">
      <c r="E174" s="60"/>
    </row>
    <row r="175" ht="15.75" customHeight="1">
      <c r="E175" s="60"/>
    </row>
    <row r="176" ht="15.75" customHeight="1">
      <c r="E176" s="60"/>
    </row>
    <row r="177" ht="15.75" customHeight="1">
      <c r="E177" s="60"/>
    </row>
    <row r="178" ht="15.75" customHeight="1">
      <c r="E178" s="60"/>
    </row>
    <row r="179" ht="15.75" customHeight="1">
      <c r="E179" s="60"/>
    </row>
    <row r="180" ht="15.75" customHeight="1">
      <c r="E180" s="60"/>
    </row>
    <row r="181" ht="15.75" customHeight="1">
      <c r="E181" s="60"/>
    </row>
    <row r="182" ht="15.75" customHeight="1">
      <c r="E182" s="60"/>
    </row>
    <row r="183" ht="15.75" customHeight="1">
      <c r="E183" s="60"/>
    </row>
    <row r="184" ht="15.75" customHeight="1">
      <c r="E184" s="60"/>
    </row>
    <row r="185" ht="15.75" customHeight="1">
      <c r="E185" s="60"/>
    </row>
    <row r="186" ht="15.75" customHeight="1">
      <c r="E186" s="60"/>
    </row>
    <row r="187" ht="15.75" customHeight="1">
      <c r="E187" s="60"/>
    </row>
    <row r="188" ht="15.75" customHeight="1">
      <c r="E188" s="60"/>
    </row>
    <row r="189" ht="15.75" customHeight="1">
      <c r="E189" s="60"/>
    </row>
    <row r="190" ht="15.75" customHeight="1">
      <c r="E190" s="60"/>
    </row>
    <row r="191" ht="15.75" customHeight="1">
      <c r="E191" s="60"/>
    </row>
    <row r="192" ht="15.75" customHeight="1">
      <c r="E192" s="60"/>
    </row>
    <row r="193" ht="15.75" customHeight="1">
      <c r="E193" s="60"/>
    </row>
    <row r="194" ht="15.75" customHeight="1">
      <c r="E194" s="60"/>
    </row>
    <row r="195" ht="15.75" customHeight="1">
      <c r="E195" s="60"/>
    </row>
    <row r="196" ht="15.75" customHeight="1">
      <c r="E196" s="60"/>
    </row>
    <row r="197" ht="15.75" customHeight="1">
      <c r="E197" s="60"/>
    </row>
    <row r="198" ht="15.75" customHeight="1">
      <c r="E198" s="60"/>
    </row>
    <row r="199" ht="15.75" customHeight="1">
      <c r="E199" s="60"/>
    </row>
    <row r="200" ht="15.75" customHeight="1">
      <c r="E200" s="60"/>
    </row>
    <row r="201" ht="15.75" customHeight="1">
      <c r="E201" s="60"/>
    </row>
    <row r="202" ht="15.75" customHeight="1">
      <c r="E202" s="60"/>
    </row>
    <row r="203" ht="15.75" customHeight="1">
      <c r="E203" s="60"/>
    </row>
    <row r="204" ht="15.75" customHeight="1">
      <c r="E204" s="60"/>
    </row>
    <row r="205" ht="15.75" customHeight="1">
      <c r="E205" s="60"/>
    </row>
    <row r="206" ht="15.75" customHeight="1">
      <c r="E206" s="60"/>
    </row>
    <row r="207" ht="15.75" customHeight="1">
      <c r="E207" s="60"/>
    </row>
    <row r="208" ht="15.75" customHeight="1">
      <c r="E208" s="60"/>
    </row>
    <row r="209" ht="15.75" customHeight="1">
      <c r="E209" s="60"/>
    </row>
    <row r="210" ht="15.75" customHeight="1">
      <c r="E210" s="60"/>
    </row>
    <row r="211" ht="15.75" customHeight="1">
      <c r="E211" s="60"/>
    </row>
    <row r="212" ht="15.75" customHeight="1">
      <c r="E212" s="60"/>
    </row>
    <row r="213" ht="15.75" customHeight="1">
      <c r="E213" s="60"/>
    </row>
    <row r="214" ht="15.75" customHeight="1">
      <c r="E214" s="60"/>
    </row>
    <row r="215" ht="15.75" customHeight="1">
      <c r="E215" s="60"/>
    </row>
    <row r="216" ht="15.75" customHeight="1">
      <c r="E216" s="60"/>
    </row>
    <row r="217" ht="15.75" customHeight="1">
      <c r="E217" s="60"/>
    </row>
    <row r="218" ht="15.75" customHeight="1">
      <c r="E218" s="60"/>
    </row>
    <row r="219" ht="15.75" customHeight="1">
      <c r="E219" s="60"/>
    </row>
    <row r="220" ht="15.75" customHeight="1">
      <c r="E220" s="60"/>
    </row>
    <row r="221" ht="15.75" customHeight="1">
      <c r="E221" s="60"/>
    </row>
    <row r="222" ht="15.75" customHeight="1">
      <c r="E222" s="60"/>
    </row>
    <row r="223" ht="15.75" customHeight="1">
      <c r="E223" s="60"/>
    </row>
    <row r="224" ht="15.75" customHeight="1">
      <c r="E224" s="60"/>
    </row>
    <row r="225" ht="15.75" customHeight="1">
      <c r="E225" s="60"/>
    </row>
    <row r="226" ht="15.75" customHeight="1">
      <c r="E226" s="60"/>
    </row>
    <row r="227" ht="15.75" customHeight="1">
      <c r="E227" s="60"/>
    </row>
    <row r="228" ht="15.75" customHeight="1">
      <c r="E228" s="60"/>
    </row>
    <row r="229" ht="15.75" customHeight="1">
      <c r="E229" s="60"/>
    </row>
    <row r="230" ht="15.75" customHeight="1">
      <c r="E230" s="60"/>
    </row>
    <row r="231" ht="15.75" customHeight="1">
      <c r="E231" s="60"/>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8:L8"/>
    <mergeCell ref="G9:L9"/>
    <mergeCell ref="H10:J10"/>
    <mergeCell ref="K10:M10"/>
    <mergeCell ref="P10:T10"/>
    <mergeCell ref="A31:T31"/>
    <mergeCell ref="A1:L1"/>
    <mergeCell ref="B2:L2"/>
    <mergeCell ref="A4:D4"/>
    <mergeCell ref="F4:L4"/>
    <mergeCell ref="G5:L5"/>
    <mergeCell ref="G6:L6"/>
    <mergeCell ref="G7:L7"/>
  </mergeCells>
  <conditionalFormatting sqref="J28:J41">
    <cfRule type="expression" dxfId="0" priority="1">
      <formula>$J28="A"</formula>
    </cfRule>
  </conditionalFormatting>
  <conditionalFormatting sqref="J28:J41">
    <cfRule type="expression" dxfId="1" priority="2">
      <formula>$J28="B"</formula>
    </cfRule>
  </conditionalFormatting>
  <conditionalFormatting sqref="J28:J41">
    <cfRule type="expression" dxfId="2" priority="3">
      <formula>$J28="C"</formula>
    </cfRule>
  </conditionalFormatting>
  <conditionalFormatting sqref="M28:M41">
    <cfRule type="expression" dxfId="0" priority="4">
      <formula>$M28="A"</formula>
    </cfRule>
  </conditionalFormatting>
  <conditionalFormatting sqref="M28:M41">
    <cfRule type="expression" dxfId="1" priority="5">
      <formula>$M28="B"</formula>
    </cfRule>
  </conditionalFormatting>
  <conditionalFormatting sqref="M28:M41">
    <cfRule type="expression" dxfId="2" priority="6">
      <formula>$M28="C"</formula>
    </cfRule>
  </conditionalFormatting>
  <dataValidations>
    <dataValidation type="list" allowBlank="1" sqref="B12:B29">
      <formula1>"Organization,System,Technical"</formula1>
    </dataValidation>
    <dataValidation type="list" allowBlank="1" sqref="E12:E29">
      <formula1>"Avoid,Mitigate,Transfer,Accept"</formula1>
    </dataValidation>
    <dataValidation type="list" allowBlank="1" sqref="H12:H29 K12:K29">
      <formula1>"High,Middle,Low"</formula1>
    </dataValidation>
    <dataValidation type="list" allowBlank="1" sqref="I12:I29 L12:L29">
      <formula1>"Big,Middle,Small"</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2026-10-16T18:24:35Z</dcterms:created>
  <dc:creator>openpyxl</dc:creator>
</cp:coreProperties>
</file>