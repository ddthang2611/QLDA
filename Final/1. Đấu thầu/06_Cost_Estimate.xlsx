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Summary &amp; Dashboard" sheetId="1" r:id="rId4"/>
    <sheet state="visible" name="Detailed Estimate" sheetId="2" r:id="rId5"/>
    <sheet state="visible" name="Resource &amp; Rates" sheetId="3" r:id="rId6"/>
    <sheet state="visible" name="Payment Schedule" sheetId="4" r:id="rId7"/>
  </sheets>
  <definedNames/>
  <calcPr/>
  <extLst>
    <ext uri="GoogleSheetsCustomDataVersion2">
      <go:sheetsCustomData xmlns:go="http://customooxmlschemas.google.com/" r:id="rId8" roundtripDataChecksum="JGSloNhTcbmH+4AJM5+akAcqn6TAJh5i6yH8b55Ibos="/>
    </ext>
  </extLst>
</workbook>
</file>

<file path=xl/sharedStrings.xml><?xml version="1.0" encoding="utf-8"?>
<sst xmlns="http://schemas.openxmlformats.org/spreadsheetml/2006/main" count="306" uniqueCount="251">
  <si>
    <t>BẢNG CHÀO GIÁ VÀ DỰ TOÁN CHI TIẾT THEO WBS (23 WORK PACKAGES)</t>
  </si>
  <si>
    <t>BÁO CÁO TỔNG HỢP NGUỒN VỐN VÀ DỰ TOÁN CHI PHÍ DỰ ÁN (HOÀN CHỈNH)</t>
  </si>
  <si>
    <t>Dự án: Hệ thống Bán hàng Online ABC Wear | Mã gói thầu: ABC-WSS-PM_26I_09 | Nhà thầu: Nhóm 09</t>
  </si>
  <si>
    <t>Minh bạch chi tiết Giá trước VAT - Thuế suất VAT - Tiền thuế VAT - Giá sau VAT cho từng gói công việc</t>
  </si>
  <si>
    <t>TỔNG GIÁ TRỊ HỢP ĐỒNG (SAU VAT)</t>
  </si>
  <si>
    <t>GIÁ TRỊ TRƯỚC THUẾ (NET)</t>
  </si>
  <si>
    <t>STT WBS</t>
  </si>
  <si>
    <t>TỔNG THUẾ VAT (10%)</t>
  </si>
  <si>
    <t>TỔNG GIỜ CÔNG NHÂN LỰC</t>
  </si>
  <si>
    <t>Hạng Mục / Công Việc Chi Tiết</t>
  </si>
  <si>
    <t>Mô Tả Kỹ Thuật / Deliverables</t>
  </si>
  <si>
    <t>Khối Lượng</t>
  </si>
  <si>
    <t>ĐVT</t>
  </si>
  <si>
    <t>CƠ SỞ ĐƠN GIÁ GIỜ CÔNG VÀ PHÂN BỔ NGUỒN LỰC NHÂN SỰ</t>
  </si>
  <si>
    <t>Giá Trước VAT (VNĐ)</t>
  </si>
  <si>
    <t>Thuế Suất VAT</t>
  </si>
  <si>
    <t>Tiền Thuế VAT (VNĐ)</t>
  </si>
  <si>
    <t>Cấu thành chi phí nhân công trực tiếp (3.684 giờ công / 10 nhân sự chuyên trách)</t>
  </si>
  <si>
    <t>KẾ HOẠCH TẠM ỨNG VÀ THANH TOÁN THEO MỐC MILESTONE</t>
  </si>
  <si>
    <t>Giá Sau VAT (VNĐ)</t>
  </si>
  <si>
    <t>Tỷ Trọng (%)</t>
  </si>
  <si>
    <t>STT</t>
  </si>
  <si>
    <t>Khớp 100% Giá trị Hợp đồng sau VAT (897.600.000 VNĐ) theo Điều kiện Cụ thể của Hợp đồng E-ĐKCT</t>
  </si>
  <si>
    <t>1</t>
  </si>
  <si>
    <t>Họ và Tên</t>
  </si>
  <si>
    <t>Vị Trí / Vai Trò</t>
  </si>
  <si>
    <t>Phân tích hệ thống (System Analysis)</t>
  </si>
  <si>
    <t>Đợt TT</t>
  </si>
  <si>
    <t>Đơn Giá Chưa VAT (VNĐ/h)</t>
  </si>
  <si>
    <t>Mốc Milestone / Giai Đoạn</t>
  </si>
  <si>
    <t>Tổng Số Giờ</t>
  </si>
  <si>
    <t>Thành Tiền Chưa VAT (VNĐ)</t>
  </si>
  <si>
    <t>Tỷ Lệ (%)</t>
  </si>
  <si>
    <t>Giá Trị Thanh Toán (VNĐ)</t>
  </si>
  <si>
    <t>Ghi Chú Module Phụ Trách</t>
  </si>
  <si>
    <t>Điều Kiện &amp; Sản Phẩm Nghiệm Thu</t>
  </si>
  <si>
    <t>Thời Gian Dự Kiến</t>
  </si>
  <si>
    <t>Đợt 1</t>
  </si>
  <si>
    <t>1.1</t>
  </si>
  <si>
    <t>Nguyễn Đức Tân</t>
  </si>
  <si>
    <t>Tạm ứng hợp đồng (Advance Payment)</t>
  </si>
  <si>
    <t>Khảo sát hiện trạng (AS-IS)</t>
  </si>
  <si>
    <t>PM - Quản lý dự án</t>
  </si>
  <si>
    <t>Workshop nghiệp vụ, khảo sát Main System &amp; cửa hàng</t>
  </si>
  <si>
    <t>Gói</t>
  </si>
  <si>
    <t>1. TỔNG HỢP CHI PHÍ THEO PHẠM VI CUNG CẤP (WBS CATEGORIES)</t>
  </si>
  <si>
    <t>Ngay sau khi ký hợp đồng &amp; nộp Bảo lãnh tạm ứng ngân hàng</t>
  </si>
  <si>
    <t>Tháng 06/2026</t>
  </si>
  <si>
    <t>Đợt 2</t>
  </si>
  <si>
    <t>Hạng Mục Dịch Vụ / Phân Hệ</t>
  </si>
  <si>
    <t>Mốc M1: Đóng băng Yêu cầu (SRS Approval)</t>
  </si>
  <si>
    <t>Mô Tả Cung Cấp</t>
  </si>
  <si>
    <t>Quản trị tổng thể, điều phối Scope/Cost/Schedule</t>
  </si>
  <si>
    <t>Thuế Suất</t>
  </si>
  <si>
    <t>Nguyễn Hải Đăng</t>
  </si>
  <si>
    <t>SA - Kiến trúc hệ thống</t>
  </si>
  <si>
    <t>Ghi Chú</t>
  </si>
  <si>
    <t>Phê duyệt bộ SRS chức năng, NFR &amp; quy trình TO-BE</t>
  </si>
  <si>
    <t>Tháng 07/2026</t>
  </si>
  <si>
    <t>1.2</t>
  </si>
  <si>
    <t>Đợt 3</t>
  </si>
  <si>
    <t>Thiết kế kiến trúc 24/7, Selling DB &amp; API Spec</t>
  </si>
  <si>
    <t>Mốc M2: Phê duyệt Thiết kế Chi tiết (SDD)</t>
  </si>
  <si>
    <t>SRS chức năng</t>
  </si>
  <si>
    <t>Đinh Đức Thắng</t>
  </si>
  <si>
    <t>BA - Phân tích nghiệp vụ</t>
  </si>
  <si>
    <t>Đặc tả sản phẩm, đơn hàng, khách hàng, khuyến mãi</t>
  </si>
  <si>
    <t>Khảo sát AS-IS, đặc tả SRS, NFR &amp; luồng TO-BE, đóng băng M1</t>
  </si>
  <si>
    <t>Khảo sát AS-IS, SRS, luồng TO-BE &amp; UAT</t>
  </si>
  <si>
    <t>Phê duyệt HLD, SDD, UI/UX Mockup &amp; Interface Spec</t>
  </si>
  <si>
    <t>Tháng 08/2026</t>
  </si>
  <si>
    <t>Nguyễn Thị Thu Thủy</t>
  </si>
  <si>
    <t>UX - Thiết kế giao diện</t>
  </si>
  <si>
    <t>Đợt 4</t>
  </si>
  <si>
    <t>Mốc M3 &amp; M4: Hoàn thành Build &amp; UAT</t>
  </si>
  <si>
    <t>1.3</t>
  </si>
  <si>
    <t>SRS tích hợp, NFR và TO-BE</t>
  </si>
  <si>
    <t>UI/UX, Wireframe, Mockup, Menu Layer</t>
  </si>
  <si>
    <t>Kết nối Main System, 24/7, P95&lt;=2s, ATTT, luồng TO-BE</t>
  </si>
  <si>
    <t>Nguyễn Thị Phương</t>
  </si>
  <si>
    <t>DEV1 - Lập trình chính</t>
  </si>
  <si>
    <t>Hoàn thành SIT, kiểm thử P95&lt;=2s, ATTT &amp; ký biên bản UAT</t>
  </si>
  <si>
    <t>Tháng 09/2026</t>
  </si>
  <si>
    <t>Đợt 5</t>
  </si>
  <si>
    <t>Mốc M5: Go-live chính thức hệ thống</t>
  </si>
  <si>
    <t>Module Khách hàng, Đơn hàng, Checkout &amp; Adapter</t>
  </si>
  <si>
    <t>Vũ Tuấn A</t>
  </si>
  <si>
    <t>DEV2 - Lập trình viên</t>
  </si>
  <si>
    <t>1.4</t>
  </si>
  <si>
    <t>Module Sản phẩm, Tìm kiếm, Tồn kho &amp; CDN</t>
  </si>
  <si>
    <t>Đóng băng yêu cầu (Mốc M1)</t>
  </si>
  <si>
    <t>Hệ thống go-live PROD ổn định, bàn giao tài liệu &amp; đào tạo</t>
  </si>
  <si>
    <t>Rà soát &amp; phê duyệt bộ SRS chính thức</t>
  </si>
  <si>
    <t>Nguyễn Ngọc B</t>
  </si>
  <si>
    <t>Tháng 10/2026</t>
  </si>
  <si>
    <t>DEV3 - Lập trình viên</t>
  </si>
  <si>
    <t>Đợt 6</t>
  </si>
  <si>
    <t>Mốc M6: Kết thúc Hypercare &amp; Nghiệm thu</t>
  </si>
  <si>
    <t>Module Thanh toán, Cổng VNPAY/Momo &amp; Đơn hàng</t>
  </si>
  <si>
    <t>Nguyễn Hữu C</t>
  </si>
  <si>
    <t>QC1 - Kiểm thử trưởng</t>
  </si>
  <si>
    <t>Hoàn thành 01 tháng Hypercare, ký Biên bản Thanh lý &amp; mở Bảo hành</t>
  </si>
  <si>
    <t>SIT, Kiểm thử hiệu năng P95&lt;=2s &amp; Tự động hóa</t>
  </si>
  <si>
    <t>Tháng 11/2026</t>
  </si>
  <si>
    <t>Phạm Minh D</t>
  </si>
  <si>
    <t>QC2 - Chuyên viên QC</t>
  </si>
  <si>
    <t>Tham chiếu WBS chi tiết</t>
  </si>
  <si>
    <t>TỔNG CỘNG GIÁ TRỊ THANH TOÁN (SAU VAT)</t>
  </si>
  <si>
    <t>CỘNG PHÂN TÍCH HỆ THỐNG</t>
  </si>
  <si>
    <t>Thiết kế &amp; Phát triển Web Selling Site</t>
  </si>
  <si>
    <t>Kiến trúc HLD/LLD, Selling DB, UI/UX, 16 tính năng E-commerce, CDN &amp; CI/CD</t>
  </si>
  <si>
    <t>Hệ thống</t>
  </si>
  <si>
    <t>Kiểm thử chức năng, Security OWASP &amp; UAT</t>
  </si>
  <si>
    <t>Trần Hùng E</t>
  </si>
  <si>
    <t>OPS - Kỹ sư DevOps/Infra</t>
  </si>
  <si>
    <t>Thiết lập Cloud DEV/PROD, CI/CD &amp; Cut-over</t>
  </si>
  <si>
    <t>TỔNG CỘNG CHI PHÍ NHÂN CÔNG TRỰC TIẾP (CHƯA VAT)</t>
  </si>
  <si>
    <t>Tích hợp Main System</t>
  </si>
  <si>
    <t>Adapter đồng bộ sản phẩm, tồn kho, đơn hàng, khách hàng với hệ thống lõi</t>
  </si>
  <si>
    <t>2</t>
  </si>
  <si>
    <t>Thiết kế và phát triển Web Selling Site System</t>
  </si>
  <si>
    <t>2.1</t>
  </si>
  <si>
    <t>Thiết kế kiến trúc và ATTT</t>
  </si>
  <si>
    <t>Kiến trúc 24/7, sizing, bảo vệ dữ liệu, backup</t>
  </si>
  <si>
    <t>Kiểm thử vận hành (Operation Test)</t>
  </si>
  <si>
    <t>SIT, kịch bản test case, kiểm thử hiệu năng P95&lt;=2s, Security &amp; UAT M4</t>
  </si>
  <si>
    <t>Bộ</t>
  </si>
  <si>
    <t>2.2</t>
  </si>
  <si>
    <t>Thiết kế Selling DB</t>
  </si>
  <si>
    <t>Mô hình CSDL logic/vật lý, từ điển dữ liệu</t>
  </si>
  <si>
    <t>2.3</t>
  </si>
  <si>
    <t>Thiết kế UI/UX &amp; Menu Layer</t>
  </si>
  <si>
    <t>Wireframe, Prototype, Design System</t>
  </si>
  <si>
    <t>Bàn giao &amp; Cut-over</t>
  </si>
  <si>
    <t>Chuyển đổi CSDL, đào tạo, tài liệu HDSD/vận hành, Cut-over &amp; 01 tháng Hypercare</t>
  </si>
  <si>
    <t>2.4</t>
  </si>
  <si>
    <t>Thiết kế chi tiết (Mốc M2)</t>
  </si>
  <si>
    <t>SDD, Spec API, kịch bản tích hợp</t>
  </si>
  <si>
    <t>2.5</t>
  </si>
  <si>
    <t>Module Sản phẩm &amp; Danh mục</t>
  </si>
  <si>
    <t>Hiển thị, tìm kiếm, lọc, chi tiết sản phẩm</t>
  </si>
  <si>
    <t>Bảo hành &amp; Hỗ trợ kỹ thuật</t>
  </si>
  <si>
    <t>Bảo hành 12 tháng sau Go-live (2.900.000 VNĐ/tháng, SLA 24/7)</t>
  </si>
  <si>
    <t>12 Tháng</t>
  </si>
  <si>
    <t>2.6</t>
  </si>
  <si>
    <t>Module Đơn hàng &amp; Giỏ hàng</t>
  </si>
  <si>
    <t>Giỏ hàng, tính giá, voucher, khuyến mãi</t>
  </si>
  <si>
    <t>2.7</t>
  </si>
  <si>
    <t>Module Khách hàng &amp; Tài khoản</t>
  </si>
  <si>
    <t>Đăng ký, đăng nhập SSO, lịch sử mua hàng, địa chỉ</t>
  </si>
  <si>
    <t>2.8</t>
  </si>
  <si>
    <t>Module Thanh toán &amp; Cổng VNPAY/Momo</t>
  </si>
  <si>
    <t>TỔNG CỘNG HẠNG MỤC DỊCH VỤ</t>
  </si>
  <si>
    <t>Tích hợp VNPAY, Momo, COD, đối soát giao dịch</t>
  </si>
  <si>
    <t>2.9</t>
  </si>
  <si>
    <t>Module Vận chuyển &amp; Giao hàng</t>
  </si>
  <si>
    <t>Tính phí ship, kết nối đơn vị vận chuyển</t>
  </si>
  <si>
    <t>2.10</t>
  </si>
  <si>
    <t>Module Khuyến mãi &amp; Voucher</t>
  </si>
  <si>
    <t>Mã giảm giá, Flash sale, Combo sản phẩm</t>
  </si>
  <si>
    <t>2.11</t>
  </si>
  <si>
    <t>2. PHÂN TÍCH CƠ SỞ CẤU THÀNH CHI PHÍ VÀ DỰ PHÒNG (COST BASIS &amp; CONTINGENCY)</t>
  </si>
  <si>
    <t>Module Thông báo &amp; Email/SMS</t>
  </si>
  <si>
    <t>Email xác nhận đơn, OTP, thông báo trạng thái</t>
  </si>
  <si>
    <t>Chi phí nhân công trực tiếp (Direct Labor Cost)</t>
  </si>
  <si>
    <t>3.683 giờ công / 10 nhân sự chuyên trách</t>
  </si>
  <si>
    <t>2.12</t>
  </si>
  <si>
    <t>Module Báo cáo &amp; Dashboard</t>
  </si>
  <si>
    <t>Doanh thu, đơn hàng, sản phẩm bán chạy</t>
  </si>
  <si>
    <t>2.13</t>
  </si>
  <si>
    <t>Module Quản trị Nội dung (CMS)</t>
  </si>
  <si>
    <t>Banner, tin tức, trang tĩnh, chính sách</t>
  </si>
  <si>
    <t>2.14</t>
  </si>
  <si>
    <t>Module Quản lý Đánh giá &amp; Review</t>
  </si>
  <si>
    <t>Đánh giá 5 sao, bình luận, kiểm duyệt</t>
  </si>
  <si>
    <t>Căn cứ ma trận giờ công &amp; đơn giá</t>
  </si>
  <si>
    <t>Chi phí dự phòng rủi ro kỹ thuật &amp; chênh lệch (Contingency Reserve)</t>
  </si>
  <si>
    <t>Dự phòng rủi ro biến động nhân sự &amp; làm tròn kỹ thuật (0.029%)</t>
  </si>
  <si>
    <t>2.15</t>
  </si>
  <si>
    <t>Hạ tầng CDN, Caching &amp; Performance</t>
  </si>
  <si>
    <t>Tối ưu P95&lt;=2s, Redis cache, CDN hình ảnh</t>
  </si>
  <si>
    <t>2.16</t>
  </si>
  <si>
    <t>Dự phòng rủi ro được xác định rõ ràng</t>
  </si>
  <si>
    <t>Môi trường DEV/STG &amp; CI/CD Pipeline</t>
  </si>
  <si>
    <t>Docker, CI/CD tự động, môi trường kiểm thử</t>
  </si>
  <si>
    <t>Thuế Giá trị gia tăng VAT (10% áp dụng cho toàn bộ dịch vụ IT)</t>
  </si>
  <si>
    <t>Thuế GTGT 10% theo Luật Thuế hiện hành</t>
  </si>
  <si>
    <t>2.17</t>
  </si>
  <si>
    <t>An toàn thông tin &amp; SSL/WAF</t>
  </si>
  <si>
    <t>Chống DDoS, SSL, WAF, bảo mật OWASP</t>
  </si>
  <si>
    <t>Tổng tiền thuế GTGT phải nộp</t>
  </si>
  <si>
    <t>2.18</t>
  </si>
  <si>
    <t>TỔNG GIÁ TRỊ HỢP ĐỒNG TRỌN GÓI (CONTRACT PRICE)</t>
  </si>
  <si>
    <t>Rà soát Build &amp; Mốc M3</t>
  </si>
  <si>
    <t>Tổng hợp Module, đóng gói bàn giao Staging</t>
  </si>
  <si>
    <t>CỘNG THIẾT KẾ &amp; PHÁT TRIỂN WEB SELLING SITE</t>
  </si>
  <si>
    <t>3</t>
  </si>
  <si>
    <t>3.1</t>
  </si>
  <si>
    <t>Adapter đồng bộ Sản phẩm &amp; Tồn kho</t>
  </si>
  <si>
    <t>Real-time sync tồn kho, thông tin sản phẩm</t>
  </si>
  <si>
    <t>3.2</t>
  </si>
  <si>
    <t>Adapter đồng bộ Đơn hàng &amp; Trạng thái</t>
  </si>
  <si>
    <t>Đẩy đơn về ERP, nhận trạng thái giao hàng</t>
  </si>
  <si>
    <t>3.3</t>
  </si>
  <si>
    <t>Adapter đồng bộ Khách hàng &amp; Điểm</t>
  </si>
  <si>
    <t>Tích hợp thẻ thành viên, điểm thưởng</t>
  </si>
  <si>
    <t>3.4</t>
  </si>
  <si>
    <t>Đối soát dữ liệu &amp; Xử lý lỗi</t>
  </si>
  <si>
    <t>Log tích hợp, cơ chế Retry, cảnh báo</t>
  </si>
  <si>
    <t>CỘNG TÍCH HỢP MAIN SYSTEM</t>
  </si>
  <si>
    <t>4</t>
  </si>
  <si>
    <t>4.1</t>
  </si>
  <si>
    <t>Kiểm thử chức năng (SIT)</t>
  </si>
  <si>
    <t>Test case chức năng, UI/UX, Luồng mua hàng</t>
  </si>
  <si>
    <t>4.2</t>
  </si>
  <si>
    <t>Kiểm thử tích hợp &amp; API</t>
  </si>
  <si>
    <t>Tích hợp Main System, VNPAY, Shipping</t>
  </si>
  <si>
    <t>4.3</t>
  </si>
  <si>
    <t>Kiểm thử tải &amp; Hiệu năng P95&lt;=2s</t>
  </si>
  <si>
    <t>JMeter, Load test 10.000 concurrent users</t>
  </si>
  <si>
    <t>4.4</t>
  </si>
  <si>
    <t>Kiểm thử An toàn thông tin</t>
  </si>
  <si>
    <t>Pen-test, quét lỗ hổng OWASP Top 10</t>
  </si>
  <si>
    <t>4.5</t>
  </si>
  <si>
    <t>Hỗ trợ UAT &amp; Mốc M4</t>
  </si>
  <si>
    <t>Đồng hành UAT, sửa lỗi UAT, ký nghiệm thu</t>
  </si>
  <si>
    <t>CỘNG KIỂM THỬ VẬN HÀNH</t>
  </si>
  <si>
    <t>5</t>
  </si>
  <si>
    <t>5.1</t>
  </si>
  <si>
    <t>Chuyển đổi Dữ liệu (Data Migration)</t>
  </si>
  <si>
    <t>Import danh mục, CSDL khách hàng cũ</t>
  </si>
  <si>
    <t>5.2</t>
  </si>
  <si>
    <t>Tài liệu HDSD &amp; Vận hành</t>
  </si>
  <si>
    <t>Bộ tài liệu HDSD Admin/User, Ops Guide</t>
  </si>
  <si>
    <t>5.3</t>
  </si>
  <si>
    <t>Đào tạo Nhân sự ABC Wear</t>
  </si>
  <si>
    <t>Đào tạo Admin, Bán hàng, Vận hành đơn</t>
  </si>
  <si>
    <t>5.4</t>
  </si>
  <si>
    <t>Cut-over &amp; Go-live PROD (Mốc M5)</t>
  </si>
  <si>
    <t>Triển khai PROD, chuyển DNS, mở cổng</t>
  </si>
  <si>
    <t>5.5</t>
  </si>
  <si>
    <t>Trực Hypercare 01 tháng (Mốc M6)</t>
  </si>
  <si>
    <t>Hỗ trợ vận hành 24/7 tháng đầu Go-live</t>
  </si>
  <si>
    <t>CỘNG BÀN GIAO &amp; CUT-OVER</t>
  </si>
  <si>
    <t>6</t>
  </si>
  <si>
    <t>6.1</t>
  </si>
  <si>
    <t>Bảo hành 12 tháng sau Go-live</t>
  </si>
  <si>
    <t>Khắc phục sự cố SLA 24/7, vá lỗi phần mềm</t>
  </si>
  <si>
    <t>Tháng</t>
  </si>
  <si>
    <t>CỘNG BẢO HÀNH &amp; HỖ TRỢ KỸ THUẬT</t>
  </si>
  <si>
    <t>TỔNG CỘNG HẠNG MỤC DỊCH VỤ (WBS 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</si>
</sst>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 &quot;VNĐ&quot;"/>
    <numFmt numFmtId="165" formatCode="#,##0 &quot;Giờ&quot;"/>
    <numFmt numFmtId="166" formatCode="0.0%"/>
  </numFmts>
  <fonts count="9">
    <font>
      <sz val="11.0"/>
      <color theme="1"/>
      <name val="Calibri"/>
      <scheme val="minor"/>
    </font>
    <font>
      <b/>
      <sz val="15.0"/>
      <color rgb="FF1F4E79"/>
      <name val="Calibri"/>
    </font>
    <font>
      <i/>
      <sz val="10.0"/>
      <color rgb="FF595959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sz val="11.0"/>
      <color theme="1"/>
      <name val="Calibri"/>
    </font>
    <font/>
    <font>
      <sz val="10.0"/>
      <color theme="1"/>
      <name val="Calibri"/>
    </font>
    <font>
      <b/>
      <sz val="10.0"/>
      <color rgb="FF1F4E7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2" fillId="3" fontId="3" numFmtId="0" xfId="0" applyBorder="1" applyFill="1" applyFont="1"/>
    <xf borderId="3" fillId="0" fontId="6" numFmtId="0" xfId="0" applyBorder="1" applyFont="1"/>
    <xf borderId="5" fillId="0" fontId="6" numFmtId="0" xfId="0" applyBorder="1" applyFont="1"/>
    <xf borderId="4" fillId="0" fontId="7" numFmtId="0" xfId="0" applyAlignment="1" applyBorder="1" applyFont="1">
      <alignment horizontal="center"/>
    </xf>
    <xf borderId="1" fillId="4" fontId="3" numFmtId="164" xfId="0" applyBorder="1" applyFill="1" applyFont="1" applyNumberFormat="1"/>
    <xf borderId="4" fillId="0" fontId="7" numFmtId="0" xfId="0" applyBorder="1" applyFont="1"/>
    <xf borderId="4" fillId="0" fontId="7" numFmtId="164" xfId="0" applyBorder="1" applyFont="1" applyNumberFormat="1"/>
    <xf borderId="4" fillId="0" fontId="7" numFmtId="165" xfId="0" applyAlignment="1" applyBorder="1" applyFont="1" applyNumberFormat="1">
      <alignment readingOrder="0"/>
    </xf>
    <xf borderId="4" fillId="0" fontId="7" numFmtId="166" xfId="0" applyBorder="1" applyFont="1" applyNumberFormat="1"/>
    <xf borderId="1" fillId="4" fontId="3" numFmtId="165" xfId="0" applyBorder="1" applyFill="1" applyFont="1" applyNumberFormat="1"/>
    <xf borderId="0" fillId="0" fontId="8" numFmtId="0" xfId="0" applyFont="1"/>
    <xf borderId="4" fillId="0" fontId="7" numFmtId="10" xfId="0" applyBorder="1" applyFont="1" applyNumberFormat="1"/>
    <xf borderId="4" fillId="4" fontId="5" numFmtId="0" xfId="0" applyBorder="1" applyFill="1" applyFont="1"/>
    <xf borderId="4" fillId="5" fontId="3" numFmtId="0" xfId="0" applyBorder="1" applyFill="1" applyFont="1"/>
    <xf borderId="4" fillId="4" fontId="3" numFmtId="0" xfId="0" applyBorder="1" applyFill="1" applyFont="1"/>
    <xf borderId="4" fillId="5" fontId="3" numFmtId="166" xfId="0" applyBorder="1" applyFill="1" applyFont="1" applyNumberFormat="1"/>
    <xf borderId="4" fillId="4" fontId="3" numFmtId="164" xfId="0" applyBorder="1" applyFill="1" applyFont="1" applyNumberFormat="1"/>
    <xf borderId="4" fillId="4" fontId="3" numFmtId="166" xfId="0" applyBorder="1" applyFill="1" applyFont="1" applyNumberFormat="1"/>
    <xf borderId="4" fillId="5" fontId="3" numFmtId="164" xfId="0" applyBorder="1" applyFill="1" applyFont="1" applyNumberFormat="1"/>
    <xf borderId="4" fillId="5" fontId="3" numFmtId="165" xfId="0" applyBorder="1" applyFill="1" applyFont="1" applyNumberFormat="1"/>
    <xf borderId="4" fillId="4" fontId="3" numFmtId="10" xfId="0" applyBorder="1" applyFill="1" applyFont="1" applyNumberFormat="1"/>
    <xf borderId="4" fillId="0" fontId="7" numFmtId="0" xfId="0" applyAlignment="1" applyBorder="1" applyFont="1">
      <alignment readingOrder="0"/>
    </xf>
    <xf borderId="4" fillId="0" fontId="7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0"/>
    <col customWidth="1" min="2" max="2" width="41.0"/>
    <col customWidth="1" min="3" max="3" width="82.0"/>
    <col customWidth="1" min="4" max="4" width="34.0"/>
    <col customWidth="1" min="5" max="6" width="27.0"/>
    <col customWidth="1" min="7" max="7" width="34.0"/>
    <col customWidth="1" min="8" max="8" width="27.0"/>
    <col customWidth="1" min="9" max="9" width="16.0"/>
    <col customWidth="1" min="10" max="10" width="40.0"/>
    <col customWidth="1" min="11" max="26" width="8.71"/>
  </cols>
  <sheetData>
    <row r="1">
      <c r="A1" s="1" t="s">
        <v>1</v>
      </c>
    </row>
    <row r="2">
      <c r="A2" s="2" t="s">
        <v>2</v>
      </c>
    </row>
    <row r="4">
      <c r="A4" s="3" t="s">
        <v>4</v>
      </c>
      <c r="D4" s="3" t="s">
        <v>5</v>
      </c>
      <c r="G4" s="3" t="s">
        <v>7</v>
      </c>
      <c r="J4" s="3" t="s">
        <v>8</v>
      </c>
    </row>
    <row r="5">
      <c r="A5" s="10">
        <f>'Cost Summary &amp; Dashboard'!H22</f>
        <v>870804000</v>
      </c>
      <c r="D5" s="10">
        <f>'Cost Summary &amp; Dashboard'!E22</f>
        <v>791640000</v>
      </c>
      <c r="G5" s="10">
        <f>'Cost Summary &amp; Dashboard'!G22</f>
        <v>79164000</v>
      </c>
      <c r="J5" s="15">
        <f>'Resource &amp; Rates'!E16</f>
        <v>3683.2</v>
      </c>
    </row>
    <row r="8">
      <c r="A8" s="16" t="s">
        <v>45</v>
      </c>
    </row>
    <row r="9">
      <c r="A9" s="4" t="s">
        <v>21</v>
      </c>
      <c r="B9" s="4" t="s">
        <v>49</v>
      </c>
      <c r="C9" s="4" t="s">
        <v>51</v>
      </c>
      <c r="D9" s="4" t="s">
        <v>12</v>
      </c>
      <c r="E9" s="4" t="s">
        <v>14</v>
      </c>
      <c r="F9" s="4" t="s">
        <v>53</v>
      </c>
      <c r="G9" s="4" t="s">
        <v>16</v>
      </c>
      <c r="H9" s="4" t="s">
        <v>19</v>
      </c>
      <c r="I9" s="4" t="s">
        <v>20</v>
      </c>
      <c r="J9" s="4" t="s">
        <v>56</v>
      </c>
    </row>
    <row r="10">
      <c r="A10" s="9">
        <v>1.0</v>
      </c>
      <c r="B10" s="11" t="s">
        <v>26</v>
      </c>
      <c r="C10" s="11" t="s">
        <v>67</v>
      </c>
      <c r="D10" s="9" t="s">
        <v>44</v>
      </c>
      <c r="E10" s="12">
        <f>'Detailed Estimate'!F10</f>
        <v>88909090.91</v>
      </c>
      <c r="F10" s="14">
        <f>'Detailed Estimate'!G10</f>
        <v>0.1</v>
      </c>
      <c r="G10" s="12">
        <f>'Detailed Estimate'!H10</f>
        <v>8890909.091</v>
      </c>
      <c r="H10" s="12">
        <f>'Detailed Estimate'!I10</f>
        <v>97800000</v>
      </c>
      <c r="I10" s="17">
        <f t="shared" ref="I10:I15" si="1">H10/$H$16</f>
        <v>0.1089572193</v>
      </c>
      <c r="J10" s="11" t="s">
        <v>106</v>
      </c>
    </row>
    <row r="11">
      <c r="A11" s="9">
        <v>2.0</v>
      </c>
      <c r="B11" s="11" t="s">
        <v>109</v>
      </c>
      <c r="C11" s="11" t="s">
        <v>110</v>
      </c>
      <c r="D11" s="9" t="s">
        <v>111</v>
      </c>
      <c r="E11" s="12">
        <f>'Detailed Estimate'!F30</f>
        <v>360727272.7</v>
      </c>
      <c r="F11" s="14">
        <f>'Detailed Estimate'!G30</f>
        <v>0.1</v>
      </c>
      <c r="G11" s="12">
        <f>'Detailed Estimate'!H30</f>
        <v>36072727.27</v>
      </c>
      <c r="H11" s="12">
        <f>'Detailed Estimate'!I30</f>
        <v>396800000</v>
      </c>
      <c r="I11" s="17">
        <f t="shared" si="1"/>
        <v>0.4420677362</v>
      </c>
      <c r="J11" s="11" t="s">
        <v>106</v>
      </c>
    </row>
    <row r="12">
      <c r="A12" s="9">
        <v>3.0</v>
      </c>
      <c r="B12" s="11" t="s">
        <v>117</v>
      </c>
      <c r="C12" s="11" t="s">
        <v>118</v>
      </c>
      <c r="D12" s="9" t="s">
        <v>111</v>
      </c>
      <c r="E12" s="12">
        <f>'Detailed Estimate'!F36</f>
        <v>95818181.82</v>
      </c>
      <c r="F12" s="14">
        <f>'Detailed Estimate'!G36</f>
        <v>0.1</v>
      </c>
      <c r="G12" s="12">
        <f>'Detailed Estimate'!H36</f>
        <v>9581818.182</v>
      </c>
      <c r="H12" s="12">
        <f>'Detailed Estimate'!I36</f>
        <v>105400000</v>
      </c>
      <c r="I12" s="17">
        <f t="shared" si="1"/>
        <v>0.1174242424</v>
      </c>
      <c r="J12" s="11" t="s">
        <v>106</v>
      </c>
    </row>
    <row r="13">
      <c r="A13" s="9">
        <v>4.0</v>
      </c>
      <c r="B13" s="11" t="s">
        <v>124</v>
      </c>
      <c r="C13" s="11" t="s">
        <v>125</v>
      </c>
      <c r="D13" s="9" t="s">
        <v>126</v>
      </c>
      <c r="E13" s="12">
        <f>'Detailed Estimate'!F43</f>
        <v>155909090.9</v>
      </c>
      <c r="F13" s="14">
        <f>'Detailed Estimate'!G43</f>
        <v>0.1</v>
      </c>
      <c r="G13" s="12">
        <f>'Detailed Estimate'!H43</f>
        <v>15590909.09</v>
      </c>
      <c r="H13" s="12">
        <f>'Detailed Estimate'!I43</f>
        <v>171500000</v>
      </c>
      <c r="I13" s="17">
        <f t="shared" si="1"/>
        <v>0.1910650624</v>
      </c>
      <c r="J13" s="11" t="s">
        <v>106</v>
      </c>
    </row>
    <row r="14">
      <c r="A14" s="9">
        <v>5.0</v>
      </c>
      <c r="B14" s="11" t="s">
        <v>133</v>
      </c>
      <c r="C14" s="11" t="s">
        <v>134</v>
      </c>
      <c r="D14" s="9" t="s">
        <v>111</v>
      </c>
      <c r="E14" s="12">
        <f>'Detailed Estimate'!F50</f>
        <v>83000000</v>
      </c>
      <c r="F14" s="14">
        <f>'Detailed Estimate'!G50</f>
        <v>0.1</v>
      </c>
      <c r="G14" s="12">
        <f>'Detailed Estimate'!H50</f>
        <v>8300000</v>
      </c>
      <c r="H14" s="12">
        <f>'Detailed Estimate'!I50</f>
        <v>91300000</v>
      </c>
      <c r="I14" s="17">
        <f t="shared" si="1"/>
        <v>0.1017156863</v>
      </c>
      <c r="J14" s="11" t="s">
        <v>106</v>
      </c>
    </row>
    <row r="15">
      <c r="A15" s="9">
        <v>6.0</v>
      </c>
      <c r="B15" s="11" t="s">
        <v>141</v>
      </c>
      <c r="C15" s="11" t="s">
        <v>142</v>
      </c>
      <c r="D15" s="9" t="s">
        <v>143</v>
      </c>
      <c r="E15" s="12">
        <f>'Detailed Estimate'!F53</f>
        <v>31636363.64</v>
      </c>
      <c r="F15" s="14">
        <f>'Detailed Estimate'!G53</f>
        <v>0.1</v>
      </c>
      <c r="G15" s="12">
        <f>'Detailed Estimate'!H53</f>
        <v>3163636.364</v>
      </c>
      <c r="H15" s="12">
        <f>'Detailed Estimate'!I53</f>
        <v>34800000</v>
      </c>
      <c r="I15" s="17">
        <f t="shared" si="1"/>
        <v>0.03877005348</v>
      </c>
      <c r="J15" s="11" t="s">
        <v>106</v>
      </c>
    </row>
    <row r="16">
      <c r="A16" s="20" t="s">
        <v>152</v>
      </c>
      <c r="B16" s="20"/>
      <c r="C16" s="20"/>
      <c r="D16" s="20"/>
      <c r="E16" s="22">
        <f>SUM(E10:E15)</f>
        <v>816000000</v>
      </c>
      <c r="F16" s="23">
        <v>0.1</v>
      </c>
      <c r="G16" s="22">
        <f t="shared" ref="G16:I16" si="2">SUM(G10:G15)</f>
        <v>81600000</v>
      </c>
      <c r="H16" s="22">
        <f t="shared" si="2"/>
        <v>897600000</v>
      </c>
      <c r="I16" s="23">
        <f t="shared" si="2"/>
        <v>1</v>
      </c>
      <c r="J16" s="20"/>
    </row>
    <row r="18">
      <c r="A18" s="16" t="s">
        <v>161</v>
      </c>
    </row>
    <row r="19">
      <c r="A19" s="11" t="s">
        <v>164</v>
      </c>
      <c r="B19" s="11"/>
      <c r="C19" s="27" t="s">
        <v>165</v>
      </c>
      <c r="D19" s="11"/>
      <c r="E19" s="12">
        <f>'Resource &amp; Rates'!F16</f>
        <v>791640000</v>
      </c>
      <c r="F19" s="14">
        <v>0.0</v>
      </c>
      <c r="G19" s="12">
        <f t="shared" ref="G19:G20" si="3">E19*F19</f>
        <v>0</v>
      </c>
      <c r="H19" s="12">
        <f t="shared" ref="H19:H20" si="4">E19+G19</f>
        <v>791640000</v>
      </c>
      <c r="I19" s="17">
        <f t="shared" ref="I19:I21" si="5">H19/$H$22</f>
        <v>0.9090909091</v>
      </c>
      <c r="J19" s="11" t="s">
        <v>175</v>
      </c>
    </row>
    <row r="20">
      <c r="A20" s="11" t="s">
        <v>176</v>
      </c>
      <c r="B20" s="11"/>
      <c r="C20" s="11" t="s">
        <v>177</v>
      </c>
      <c r="D20" s="11"/>
      <c r="E20" s="28">
        <v>0.0</v>
      </c>
      <c r="F20" s="14">
        <v>0.1</v>
      </c>
      <c r="G20" s="12">
        <f t="shared" si="3"/>
        <v>0</v>
      </c>
      <c r="H20" s="12">
        <f t="shared" si="4"/>
        <v>0</v>
      </c>
      <c r="I20" s="17">
        <f t="shared" si="5"/>
        <v>0</v>
      </c>
      <c r="J20" s="11" t="s">
        <v>182</v>
      </c>
    </row>
    <row r="21" ht="15.75" customHeight="1">
      <c r="A21" s="11" t="s">
        <v>185</v>
      </c>
      <c r="B21" s="11"/>
      <c r="C21" s="11" t="s">
        <v>186</v>
      </c>
      <c r="D21" s="11"/>
      <c r="E21" s="12">
        <v>0.0</v>
      </c>
      <c r="F21" s="14">
        <v>0.1</v>
      </c>
      <c r="G21" s="12">
        <f>E22*F21</f>
        <v>79164000</v>
      </c>
      <c r="H21" s="12">
        <f>G21</f>
        <v>79164000</v>
      </c>
      <c r="I21" s="17">
        <f t="shared" si="5"/>
        <v>0.09090909091</v>
      </c>
      <c r="J21" s="11" t="s">
        <v>190</v>
      </c>
    </row>
    <row r="22" ht="15.75" customHeight="1">
      <c r="A22" s="19" t="s">
        <v>192</v>
      </c>
      <c r="B22" s="19"/>
      <c r="C22" s="19"/>
      <c r="D22" s="19"/>
      <c r="E22" s="24">
        <f>E19+E20</f>
        <v>791640000</v>
      </c>
      <c r="F22" s="21">
        <v>0.1</v>
      </c>
      <c r="G22" s="24">
        <f>G20+G21</f>
        <v>79164000</v>
      </c>
      <c r="H22" s="24">
        <f>E22+G22</f>
        <v>870804000</v>
      </c>
      <c r="I22" s="21">
        <v>1.0</v>
      </c>
      <c r="J22" s="1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0"/>
    <col customWidth="1" min="2" max="2" width="49.0"/>
    <col customWidth="1" min="3" max="3" width="56.0"/>
    <col customWidth="1" min="4" max="4" width="13.0"/>
    <col customWidth="1" min="5" max="5" width="12.0"/>
    <col customWidth="1" min="6" max="6" width="27.0"/>
    <col customWidth="1" min="7" max="7" width="16.0"/>
    <col customWidth="1" min="8" max="9" width="27.0"/>
    <col customWidth="1" min="10" max="10" width="32.0"/>
    <col customWidth="1" min="11" max="26" width="8.71"/>
  </cols>
  <sheetData>
    <row r="1">
      <c r="A1" s="1" t="s">
        <v>0</v>
      </c>
    </row>
    <row r="2">
      <c r="A2" s="2" t="s">
        <v>3</v>
      </c>
    </row>
    <row r="4">
      <c r="A4" s="4" t="s">
        <v>6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14</v>
      </c>
      <c r="G4" s="4" t="s">
        <v>15</v>
      </c>
      <c r="H4" s="4" t="s">
        <v>16</v>
      </c>
      <c r="I4" s="4" t="s">
        <v>19</v>
      </c>
      <c r="J4" s="4" t="s">
        <v>20</v>
      </c>
    </row>
    <row r="5">
      <c r="A5" s="5" t="s">
        <v>23</v>
      </c>
      <c r="B5" s="6" t="s">
        <v>26</v>
      </c>
      <c r="C5" s="7"/>
      <c r="D5" s="7"/>
      <c r="E5" s="7"/>
      <c r="F5" s="7"/>
      <c r="G5" s="7"/>
      <c r="H5" s="7"/>
      <c r="I5" s="7"/>
      <c r="J5" s="8"/>
    </row>
    <row r="6">
      <c r="A6" s="9" t="s">
        <v>38</v>
      </c>
      <c r="B6" s="11" t="s">
        <v>41</v>
      </c>
      <c r="C6" s="11" t="s">
        <v>43</v>
      </c>
      <c r="D6" s="9">
        <v>1.0</v>
      </c>
      <c r="E6" s="9" t="s">
        <v>44</v>
      </c>
      <c r="F6" s="12">
        <v>2.481818182E7</v>
      </c>
      <c r="G6" s="14">
        <v>0.1</v>
      </c>
      <c r="H6" s="12">
        <f t="shared" ref="H6:H10" si="1">F6*G6</f>
        <v>2481818.182</v>
      </c>
      <c r="I6" s="12">
        <f t="shared" ref="I6:I10" si="2">F6+H6</f>
        <v>27300000</v>
      </c>
      <c r="J6" s="17">
        <f t="shared" ref="J6:J10" si="3">I6/$I$55</f>
        <v>0.03041443851</v>
      </c>
    </row>
    <row r="7">
      <c r="A7" s="9" t="s">
        <v>59</v>
      </c>
      <c r="B7" s="11" t="s">
        <v>63</v>
      </c>
      <c r="C7" s="11" t="s">
        <v>66</v>
      </c>
      <c r="D7" s="9">
        <v>1.0</v>
      </c>
      <c r="E7" s="9" t="s">
        <v>44</v>
      </c>
      <c r="F7" s="12">
        <v>3.0E7</v>
      </c>
      <c r="G7" s="14">
        <v>0.1</v>
      </c>
      <c r="H7" s="12">
        <f t="shared" si="1"/>
        <v>3000000</v>
      </c>
      <c r="I7" s="12">
        <f t="shared" si="2"/>
        <v>33000000</v>
      </c>
      <c r="J7" s="17">
        <f t="shared" si="3"/>
        <v>0.03676470588</v>
      </c>
    </row>
    <row r="8">
      <c r="A8" s="9" t="s">
        <v>75</v>
      </c>
      <c r="B8" s="11" t="s">
        <v>76</v>
      </c>
      <c r="C8" s="11" t="s">
        <v>78</v>
      </c>
      <c r="D8" s="9">
        <v>1.0</v>
      </c>
      <c r="E8" s="9" t="s">
        <v>44</v>
      </c>
      <c r="F8" s="12">
        <v>2.318181818E7</v>
      </c>
      <c r="G8" s="14">
        <v>0.1</v>
      </c>
      <c r="H8" s="12">
        <f t="shared" si="1"/>
        <v>2318181.818</v>
      </c>
      <c r="I8" s="12">
        <f t="shared" si="2"/>
        <v>25500000</v>
      </c>
      <c r="J8" s="17">
        <f t="shared" si="3"/>
        <v>0.02840909091</v>
      </c>
    </row>
    <row r="9">
      <c r="A9" s="9" t="s">
        <v>88</v>
      </c>
      <c r="B9" s="11" t="s">
        <v>90</v>
      </c>
      <c r="C9" s="11" t="s">
        <v>92</v>
      </c>
      <c r="D9" s="9">
        <v>1.0</v>
      </c>
      <c r="E9" s="9" t="s">
        <v>44</v>
      </c>
      <c r="F9" s="12">
        <v>1.090909091E7</v>
      </c>
      <c r="G9" s="14">
        <v>0.1</v>
      </c>
      <c r="H9" s="12">
        <f t="shared" si="1"/>
        <v>1090909.091</v>
      </c>
      <c r="I9" s="12">
        <f t="shared" si="2"/>
        <v>12000000</v>
      </c>
      <c r="J9" s="17">
        <f t="shared" si="3"/>
        <v>0.01336898396</v>
      </c>
    </row>
    <row r="10">
      <c r="A10" s="18"/>
      <c r="B10" s="20" t="s">
        <v>108</v>
      </c>
      <c r="C10" s="18"/>
      <c r="D10" s="18"/>
      <c r="E10" s="18"/>
      <c r="F10" s="22">
        <f>SUM(F6:F9)</f>
        <v>88909090.91</v>
      </c>
      <c r="G10" s="23">
        <v>0.1</v>
      </c>
      <c r="H10" s="22">
        <f t="shared" si="1"/>
        <v>8890909.091</v>
      </c>
      <c r="I10" s="22">
        <f t="shared" si="2"/>
        <v>97800000</v>
      </c>
      <c r="J10" s="26">
        <f t="shared" si="3"/>
        <v>0.1089572193</v>
      </c>
    </row>
    <row r="11">
      <c r="A11" s="5" t="s">
        <v>119</v>
      </c>
      <c r="B11" s="6" t="s">
        <v>120</v>
      </c>
      <c r="C11" s="7"/>
      <c r="D11" s="7"/>
      <c r="E11" s="7"/>
      <c r="F11" s="7"/>
      <c r="G11" s="7"/>
      <c r="H11" s="7"/>
      <c r="I11" s="7"/>
      <c r="J11" s="8"/>
    </row>
    <row r="12">
      <c r="A12" s="9" t="s">
        <v>121</v>
      </c>
      <c r="B12" s="11" t="s">
        <v>122</v>
      </c>
      <c r="C12" s="11" t="s">
        <v>123</v>
      </c>
      <c r="D12" s="9">
        <v>1.0</v>
      </c>
      <c r="E12" s="9" t="s">
        <v>44</v>
      </c>
      <c r="F12" s="12">
        <v>2.527272727E7</v>
      </c>
      <c r="G12" s="14">
        <v>0.1</v>
      </c>
      <c r="H12" s="12">
        <f t="shared" ref="H12:H30" si="4">F12*G12</f>
        <v>2527272.727</v>
      </c>
      <c r="I12" s="12">
        <f t="shared" ref="I12:I30" si="5">F12+H12</f>
        <v>27800000</v>
      </c>
      <c r="J12" s="17">
        <f t="shared" ref="J12:J30" si="6">I12/$I$55</f>
        <v>0.0309714795</v>
      </c>
    </row>
    <row r="13">
      <c r="A13" s="9" t="s">
        <v>127</v>
      </c>
      <c r="B13" s="11" t="s">
        <v>128</v>
      </c>
      <c r="C13" s="11" t="s">
        <v>129</v>
      </c>
      <c r="D13" s="9">
        <v>1.0</v>
      </c>
      <c r="E13" s="9" t="s">
        <v>44</v>
      </c>
      <c r="F13" s="12">
        <v>1.6E7</v>
      </c>
      <c r="G13" s="14">
        <v>0.1</v>
      </c>
      <c r="H13" s="12">
        <f t="shared" si="4"/>
        <v>1600000</v>
      </c>
      <c r="I13" s="12">
        <f t="shared" si="5"/>
        <v>17600000</v>
      </c>
      <c r="J13" s="17">
        <f t="shared" si="6"/>
        <v>0.01960784314</v>
      </c>
    </row>
    <row r="14">
      <c r="A14" s="9" t="s">
        <v>130</v>
      </c>
      <c r="B14" s="11" t="s">
        <v>131</v>
      </c>
      <c r="C14" s="11" t="s">
        <v>132</v>
      </c>
      <c r="D14" s="9">
        <v>1.0</v>
      </c>
      <c r="E14" s="9" t="s">
        <v>44</v>
      </c>
      <c r="F14" s="12">
        <v>3.918181818E7</v>
      </c>
      <c r="G14" s="14">
        <v>0.1</v>
      </c>
      <c r="H14" s="12">
        <f t="shared" si="4"/>
        <v>3918181.818</v>
      </c>
      <c r="I14" s="12">
        <f t="shared" si="5"/>
        <v>43100000</v>
      </c>
      <c r="J14" s="17">
        <f t="shared" si="6"/>
        <v>0.04801693404</v>
      </c>
    </row>
    <row r="15">
      <c r="A15" s="9" t="s">
        <v>135</v>
      </c>
      <c r="B15" s="11" t="s">
        <v>136</v>
      </c>
      <c r="C15" s="11" t="s">
        <v>137</v>
      </c>
      <c r="D15" s="9">
        <v>1.0</v>
      </c>
      <c r="E15" s="9" t="s">
        <v>44</v>
      </c>
      <c r="F15" s="12">
        <v>2.736363636E7</v>
      </c>
      <c r="G15" s="14">
        <v>0.1</v>
      </c>
      <c r="H15" s="12">
        <f t="shared" si="4"/>
        <v>2736363.636</v>
      </c>
      <c r="I15" s="12">
        <f t="shared" si="5"/>
        <v>30100000</v>
      </c>
      <c r="J15" s="17">
        <f t="shared" si="6"/>
        <v>0.03353386809</v>
      </c>
    </row>
    <row r="16">
      <c r="A16" s="9" t="s">
        <v>138</v>
      </c>
      <c r="B16" s="11" t="s">
        <v>139</v>
      </c>
      <c r="C16" s="11" t="s">
        <v>140</v>
      </c>
      <c r="D16" s="9">
        <v>1.0</v>
      </c>
      <c r="E16" s="9" t="s">
        <v>44</v>
      </c>
      <c r="F16" s="12">
        <v>2.5E7</v>
      </c>
      <c r="G16" s="14">
        <v>0.1</v>
      </c>
      <c r="H16" s="12">
        <f t="shared" si="4"/>
        <v>2500000</v>
      </c>
      <c r="I16" s="12">
        <f t="shared" si="5"/>
        <v>27500000</v>
      </c>
      <c r="J16" s="17">
        <f t="shared" si="6"/>
        <v>0.0306372549</v>
      </c>
    </row>
    <row r="17">
      <c r="A17" s="9" t="s">
        <v>144</v>
      </c>
      <c r="B17" s="11" t="s">
        <v>145</v>
      </c>
      <c r="C17" s="11" t="s">
        <v>146</v>
      </c>
      <c r="D17" s="9">
        <v>1.0</v>
      </c>
      <c r="E17" s="9" t="s">
        <v>44</v>
      </c>
      <c r="F17" s="12">
        <v>2.6E7</v>
      </c>
      <c r="G17" s="14">
        <v>0.1</v>
      </c>
      <c r="H17" s="12">
        <f t="shared" si="4"/>
        <v>2600000</v>
      </c>
      <c r="I17" s="12">
        <f t="shared" si="5"/>
        <v>28600000</v>
      </c>
      <c r="J17" s="17">
        <f t="shared" si="6"/>
        <v>0.0318627451</v>
      </c>
    </row>
    <row r="18">
      <c r="A18" s="9" t="s">
        <v>147</v>
      </c>
      <c r="B18" s="11" t="s">
        <v>148</v>
      </c>
      <c r="C18" s="11" t="s">
        <v>149</v>
      </c>
      <c r="D18" s="9">
        <v>1.0</v>
      </c>
      <c r="E18" s="9" t="s">
        <v>44</v>
      </c>
      <c r="F18" s="12">
        <v>2.0E7</v>
      </c>
      <c r="G18" s="14">
        <v>0.1</v>
      </c>
      <c r="H18" s="12">
        <f t="shared" si="4"/>
        <v>2000000</v>
      </c>
      <c r="I18" s="12">
        <f t="shared" si="5"/>
        <v>22000000</v>
      </c>
      <c r="J18" s="17">
        <f t="shared" si="6"/>
        <v>0.02450980392</v>
      </c>
    </row>
    <row r="19">
      <c r="A19" s="9" t="s">
        <v>150</v>
      </c>
      <c r="B19" s="11" t="s">
        <v>151</v>
      </c>
      <c r="C19" s="11" t="s">
        <v>153</v>
      </c>
      <c r="D19" s="9">
        <v>1.0</v>
      </c>
      <c r="E19" s="9" t="s">
        <v>44</v>
      </c>
      <c r="F19" s="12">
        <v>2.2E7</v>
      </c>
      <c r="G19" s="14">
        <v>0.1</v>
      </c>
      <c r="H19" s="12">
        <f t="shared" si="4"/>
        <v>2200000</v>
      </c>
      <c r="I19" s="12">
        <f t="shared" si="5"/>
        <v>24200000</v>
      </c>
      <c r="J19" s="17">
        <f t="shared" si="6"/>
        <v>0.02696078431</v>
      </c>
    </row>
    <row r="20">
      <c r="A20" s="9" t="s">
        <v>154</v>
      </c>
      <c r="B20" s="11" t="s">
        <v>155</v>
      </c>
      <c r="C20" s="11" t="s">
        <v>156</v>
      </c>
      <c r="D20" s="9">
        <v>1.0</v>
      </c>
      <c r="E20" s="9" t="s">
        <v>44</v>
      </c>
      <c r="F20" s="12">
        <v>1.6E7</v>
      </c>
      <c r="G20" s="14">
        <v>0.1</v>
      </c>
      <c r="H20" s="12">
        <f t="shared" si="4"/>
        <v>1600000</v>
      </c>
      <c r="I20" s="12">
        <f t="shared" si="5"/>
        <v>17600000</v>
      </c>
      <c r="J20" s="17">
        <f t="shared" si="6"/>
        <v>0.01960784314</v>
      </c>
    </row>
    <row r="21" ht="15.75" customHeight="1">
      <c r="A21" s="9" t="s">
        <v>157</v>
      </c>
      <c r="B21" s="11" t="s">
        <v>158</v>
      </c>
      <c r="C21" s="11" t="s">
        <v>159</v>
      </c>
      <c r="D21" s="9">
        <v>1.0</v>
      </c>
      <c r="E21" s="9" t="s">
        <v>44</v>
      </c>
      <c r="F21" s="12">
        <v>1.7E7</v>
      </c>
      <c r="G21" s="14">
        <v>0.1</v>
      </c>
      <c r="H21" s="12">
        <f t="shared" si="4"/>
        <v>1700000</v>
      </c>
      <c r="I21" s="12">
        <f t="shared" si="5"/>
        <v>18700000</v>
      </c>
      <c r="J21" s="17">
        <f t="shared" si="6"/>
        <v>0.02083333333</v>
      </c>
    </row>
    <row r="22" ht="15.75" customHeight="1">
      <c r="A22" s="9" t="s">
        <v>160</v>
      </c>
      <c r="B22" s="11" t="s">
        <v>162</v>
      </c>
      <c r="C22" s="11" t="s">
        <v>163</v>
      </c>
      <c r="D22" s="9">
        <v>1.0</v>
      </c>
      <c r="E22" s="9" t="s">
        <v>44</v>
      </c>
      <c r="F22" s="12">
        <v>1.4E7</v>
      </c>
      <c r="G22" s="14">
        <v>0.1</v>
      </c>
      <c r="H22" s="12">
        <f t="shared" si="4"/>
        <v>1400000</v>
      </c>
      <c r="I22" s="12">
        <f t="shared" si="5"/>
        <v>15400000</v>
      </c>
      <c r="J22" s="17">
        <f t="shared" si="6"/>
        <v>0.01715686275</v>
      </c>
    </row>
    <row r="23" ht="15.75" customHeight="1">
      <c r="A23" s="9" t="s">
        <v>166</v>
      </c>
      <c r="B23" s="11" t="s">
        <v>167</v>
      </c>
      <c r="C23" s="11" t="s">
        <v>168</v>
      </c>
      <c r="D23" s="9">
        <v>1.0</v>
      </c>
      <c r="E23" s="9" t="s">
        <v>44</v>
      </c>
      <c r="F23" s="12">
        <v>1.8E7</v>
      </c>
      <c r="G23" s="14">
        <v>0.1</v>
      </c>
      <c r="H23" s="12">
        <f t="shared" si="4"/>
        <v>1800000</v>
      </c>
      <c r="I23" s="12">
        <f t="shared" si="5"/>
        <v>19800000</v>
      </c>
      <c r="J23" s="17">
        <f t="shared" si="6"/>
        <v>0.02205882353</v>
      </c>
    </row>
    <row r="24" ht="15.75" customHeight="1">
      <c r="A24" s="9" t="s">
        <v>169</v>
      </c>
      <c r="B24" s="11" t="s">
        <v>170</v>
      </c>
      <c r="C24" s="11" t="s">
        <v>171</v>
      </c>
      <c r="D24" s="9">
        <v>1.0</v>
      </c>
      <c r="E24" s="9" t="s">
        <v>44</v>
      </c>
      <c r="F24" s="12">
        <v>1.5E7</v>
      </c>
      <c r="G24" s="14">
        <v>0.1</v>
      </c>
      <c r="H24" s="12">
        <f t="shared" si="4"/>
        <v>1500000</v>
      </c>
      <c r="I24" s="12">
        <f t="shared" si="5"/>
        <v>16500000</v>
      </c>
      <c r="J24" s="17">
        <f t="shared" si="6"/>
        <v>0.01838235294</v>
      </c>
    </row>
    <row r="25" ht="15.75" customHeight="1">
      <c r="A25" s="9" t="s">
        <v>172</v>
      </c>
      <c r="B25" s="11" t="s">
        <v>173</v>
      </c>
      <c r="C25" s="11" t="s">
        <v>174</v>
      </c>
      <c r="D25" s="9">
        <v>1.0</v>
      </c>
      <c r="E25" s="9" t="s">
        <v>44</v>
      </c>
      <c r="F25" s="12">
        <v>1.1E7</v>
      </c>
      <c r="G25" s="14">
        <v>0.1</v>
      </c>
      <c r="H25" s="12">
        <f t="shared" si="4"/>
        <v>1100000</v>
      </c>
      <c r="I25" s="12">
        <f t="shared" si="5"/>
        <v>12100000</v>
      </c>
      <c r="J25" s="17">
        <f t="shared" si="6"/>
        <v>0.01348039216</v>
      </c>
    </row>
    <row r="26" ht="15.75" customHeight="1">
      <c r="A26" s="9" t="s">
        <v>178</v>
      </c>
      <c r="B26" s="11" t="s">
        <v>179</v>
      </c>
      <c r="C26" s="11" t="s">
        <v>180</v>
      </c>
      <c r="D26" s="9">
        <v>1.0</v>
      </c>
      <c r="E26" s="9" t="s">
        <v>44</v>
      </c>
      <c r="F26" s="12">
        <v>1.9E7</v>
      </c>
      <c r="G26" s="14">
        <v>0.1</v>
      </c>
      <c r="H26" s="12">
        <f t="shared" si="4"/>
        <v>1900000</v>
      </c>
      <c r="I26" s="12">
        <f t="shared" si="5"/>
        <v>20900000</v>
      </c>
      <c r="J26" s="17">
        <f t="shared" si="6"/>
        <v>0.02328431373</v>
      </c>
    </row>
    <row r="27" ht="15.75" customHeight="1">
      <c r="A27" s="9" t="s">
        <v>181</v>
      </c>
      <c r="B27" s="11" t="s">
        <v>183</v>
      </c>
      <c r="C27" s="11" t="s">
        <v>184</v>
      </c>
      <c r="D27" s="9">
        <v>1.0</v>
      </c>
      <c r="E27" s="9" t="s">
        <v>44</v>
      </c>
      <c r="F27" s="12">
        <v>1.7E7</v>
      </c>
      <c r="G27" s="14">
        <v>0.1</v>
      </c>
      <c r="H27" s="12">
        <f t="shared" si="4"/>
        <v>1700000</v>
      </c>
      <c r="I27" s="12">
        <f t="shared" si="5"/>
        <v>18700000</v>
      </c>
      <c r="J27" s="17">
        <f t="shared" si="6"/>
        <v>0.02083333333</v>
      </c>
    </row>
    <row r="28" ht="15.75" customHeight="1">
      <c r="A28" s="9" t="s">
        <v>187</v>
      </c>
      <c r="B28" s="11" t="s">
        <v>188</v>
      </c>
      <c r="C28" s="11" t="s">
        <v>189</v>
      </c>
      <c r="D28" s="9">
        <v>1.0</v>
      </c>
      <c r="E28" s="9" t="s">
        <v>44</v>
      </c>
      <c r="F28" s="12">
        <v>1.3E7</v>
      </c>
      <c r="G28" s="14">
        <v>0.1</v>
      </c>
      <c r="H28" s="12">
        <f t="shared" si="4"/>
        <v>1300000</v>
      </c>
      <c r="I28" s="12">
        <f t="shared" si="5"/>
        <v>14300000</v>
      </c>
      <c r="J28" s="17">
        <f t="shared" si="6"/>
        <v>0.01593137255</v>
      </c>
    </row>
    <row r="29" ht="15.75" customHeight="1">
      <c r="A29" s="9" t="s">
        <v>191</v>
      </c>
      <c r="B29" s="11" t="s">
        <v>193</v>
      </c>
      <c r="C29" s="11" t="s">
        <v>194</v>
      </c>
      <c r="D29" s="9">
        <v>1.0</v>
      </c>
      <c r="E29" s="9" t="s">
        <v>44</v>
      </c>
      <c r="F29" s="12">
        <v>1.990909091E7</v>
      </c>
      <c r="G29" s="14">
        <v>0.1</v>
      </c>
      <c r="H29" s="12">
        <f t="shared" si="4"/>
        <v>1990909.091</v>
      </c>
      <c r="I29" s="12">
        <f t="shared" si="5"/>
        <v>21900000</v>
      </c>
      <c r="J29" s="17">
        <f t="shared" si="6"/>
        <v>0.02439839572</v>
      </c>
    </row>
    <row r="30" ht="15.75" customHeight="1">
      <c r="A30" s="18"/>
      <c r="B30" s="20" t="s">
        <v>195</v>
      </c>
      <c r="C30" s="18"/>
      <c r="D30" s="18"/>
      <c r="E30" s="18"/>
      <c r="F30" s="22">
        <f>SUM(F12:F29)</f>
        <v>360727272.7</v>
      </c>
      <c r="G30" s="23">
        <v>0.1</v>
      </c>
      <c r="H30" s="22">
        <f t="shared" si="4"/>
        <v>36072727.27</v>
      </c>
      <c r="I30" s="22">
        <f t="shared" si="5"/>
        <v>396800000</v>
      </c>
      <c r="J30" s="26">
        <f t="shared" si="6"/>
        <v>0.4420677362</v>
      </c>
    </row>
    <row r="31" ht="15.75" customHeight="1">
      <c r="A31" s="5" t="s">
        <v>196</v>
      </c>
      <c r="B31" s="6" t="s">
        <v>117</v>
      </c>
      <c r="C31" s="7"/>
      <c r="D31" s="7"/>
      <c r="E31" s="7"/>
      <c r="F31" s="7"/>
      <c r="G31" s="7"/>
      <c r="H31" s="7"/>
      <c r="I31" s="7"/>
      <c r="J31" s="8"/>
    </row>
    <row r="32" ht="15.75" customHeight="1">
      <c r="A32" s="9" t="s">
        <v>197</v>
      </c>
      <c r="B32" s="11" t="s">
        <v>198</v>
      </c>
      <c r="C32" s="11" t="s">
        <v>199</v>
      </c>
      <c r="D32" s="9">
        <v>1.0</v>
      </c>
      <c r="E32" s="9" t="s">
        <v>44</v>
      </c>
      <c r="F32" s="12">
        <v>3.0E7</v>
      </c>
      <c r="G32" s="14">
        <v>0.1</v>
      </c>
      <c r="H32" s="12">
        <f t="shared" ref="H32:H36" si="7">F32*G32</f>
        <v>3000000</v>
      </c>
      <c r="I32" s="12">
        <f t="shared" ref="I32:I36" si="8">F32+H32</f>
        <v>33000000</v>
      </c>
      <c r="J32" s="17">
        <f t="shared" ref="J32:J36" si="9">I32/$I$55</f>
        <v>0.03676470588</v>
      </c>
    </row>
    <row r="33" ht="15.75" customHeight="1">
      <c r="A33" s="9" t="s">
        <v>200</v>
      </c>
      <c r="B33" s="11" t="s">
        <v>201</v>
      </c>
      <c r="C33" s="11" t="s">
        <v>202</v>
      </c>
      <c r="D33" s="9">
        <v>1.0</v>
      </c>
      <c r="E33" s="9" t="s">
        <v>44</v>
      </c>
      <c r="F33" s="12">
        <v>2.8E7</v>
      </c>
      <c r="G33" s="14">
        <v>0.1</v>
      </c>
      <c r="H33" s="12">
        <f t="shared" si="7"/>
        <v>2800000</v>
      </c>
      <c r="I33" s="12">
        <f t="shared" si="8"/>
        <v>30800000</v>
      </c>
      <c r="J33" s="17">
        <f t="shared" si="9"/>
        <v>0.03431372549</v>
      </c>
    </row>
    <row r="34" ht="15.75" customHeight="1">
      <c r="A34" s="9" t="s">
        <v>203</v>
      </c>
      <c r="B34" s="11" t="s">
        <v>204</v>
      </c>
      <c r="C34" s="11" t="s">
        <v>205</v>
      </c>
      <c r="D34" s="9">
        <v>1.0</v>
      </c>
      <c r="E34" s="9" t="s">
        <v>44</v>
      </c>
      <c r="F34" s="12">
        <v>2.2E7</v>
      </c>
      <c r="G34" s="14">
        <v>0.1</v>
      </c>
      <c r="H34" s="12">
        <f t="shared" si="7"/>
        <v>2200000</v>
      </c>
      <c r="I34" s="12">
        <f t="shared" si="8"/>
        <v>24200000</v>
      </c>
      <c r="J34" s="17">
        <f t="shared" si="9"/>
        <v>0.02696078431</v>
      </c>
    </row>
    <row r="35" ht="15.75" customHeight="1">
      <c r="A35" s="9" t="s">
        <v>206</v>
      </c>
      <c r="B35" s="11" t="s">
        <v>207</v>
      </c>
      <c r="C35" s="11" t="s">
        <v>208</v>
      </c>
      <c r="D35" s="9">
        <v>1.0</v>
      </c>
      <c r="E35" s="9" t="s">
        <v>44</v>
      </c>
      <c r="F35" s="12">
        <v>1.581818182E7</v>
      </c>
      <c r="G35" s="14">
        <v>0.1</v>
      </c>
      <c r="H35" s="12">
        <f t="shared" si="7"/>
        <v>1581818.182</v>
      </c>
      <c r="I35" s="12">
        <f t="shared" si="8"/>
        <v>17400000</v>
      </c>
      <c r="J35" s="17">
        <f t="shared" si="9"/>
        <v>0.01938502674</v>
      </c>
    </row>
    <row r="36" ht="15.75" customHeight="1">
      <c r="A36" s="18"/>
      <c r="B36" s="20" t="s">
        <v>209</v>
      </c>
      <c r="C36" s="18"/>
      <c r="D36" s="18"/>
      <c r="E36" s="18"/>
      <c r="F36" s="22">
        <f>SUM(F32:F35)</f>
        <v>95818181.82</v>
      </c>
      <c r="G36" s="23">
        <v>0.1</v>
      </c>
      <c r="H36" s="22">
        <f t="shared" si="7"/>
        <v>9581818.182</v>
      </c>
      <c r="I36" s="22">
        <f t="shared" si="8"/>
        <v>105400000</v>
      </c>
      <c r="J36" s="26">
        <f t="shared" si="9"/>
        <v>0.1174242424</v>
      </c>
    </row>
    <row r="37" ht="15.75" customHeight="1">
      <c r="A37" s="5" t="s">
        <v>210</v>
      </c>
      <c r="B37" s="6" t="s">
        <v>124</v>
      </c>
      <c r="C37" s="7"/>
      <c r="D37" s="7"/>
      <c r="E37" s="7"/>
      <c r="F37" s="7"/>
      <c r="G37" s="7"/>
      <c r="H37" s="7"/>
      <c r="I37" s="7"/>
      <c r="J37" s="8"/>
    </row>
    <row r="38" ht="15.75" customHeight="1">
      <c r="A38" s="9" t="s">
        <v>211</v>
      </c>
      <c r="B38" s="11" t="s">
        <v>212</v>
      </c>
      <c r="C38" s="11" t="s">
        <v>213</v>
      </c>
      <c r="D38" s="9">
        <v>1.0</v>
      </c>
      <c r="E38" s="9" t="s">
        <v>44</v>
      </c>
      <c r="F38" s="12">
        <v>3.8E7</v>
      </c>
      <c r="G38" s="14">
        <v>0.1</v>
      </c>
      <c r="H38" s="12">
        <f t="shared" ref="H38:H43" si="10">F38*G38</f>
        <v>3800000</v>
      </c>
      <c r="I38" s="12">
        <f t="shared" ref="I38:I43" si="11">F38+H38</f>
        <v>41800000</v>
      </c>
      <c r="J38" s="17">
        <f t="shared" ref="J38:J43" si="12">I38/$I$55</f>
        <v>0.04656862745</v>
      </c>
    </row>
    <row r="39" ht="15.75" customHeight="1">
      <c r="A39" s="9" t="s">
        <v>214</v>
      </c>
      <c r="B39" s="11" t="s">
        <v>215</v>
      </c>
      <c r="C39" s="11" t="s">
        <v>216</v>
      </c>
      <c r="D39" s="9">
        <v>1.0</v>
      </c>
      <c r="E39" s="9" t="s">
        <v>44</v>
      </c>
      <c r="F39" s="12">
        <v>3.2E7</v>
      </c>
      <c r="G39" s="14">
        <v>0.1</v>
      </c>
      <c r="H39" s="12">
        <f t="shared" si="10"/>
        <v>3200000</v>
      </c>
      <c r="I39" s="12">
        <f t="shared" si="11"/>
        <v>35200000</v>
      </c>
      <c r="J39" s="17">
        <f t="shared" si="12"/>
        <v>0.03921568627</v>
      </c>
    </row>
    <row r="40" ht="15.75" customHeight="1">
      <c r="A40" s="9" t="s">
        <v>217</v>
      </c>
      <c r="B40" s="11" t="s">
        <v>218</v>
      </c>
      <c r="C40" s="11" t="s">
        <v>219</v>
      </c>
      <c r="D40" s="9">
        <v>1.0</v>
      </c>
      <c r="E40" s="9" t="s">
        <v>44</v>
      </c>
      <c r="F40" s="12">
        <v>3.5E7</v>
      </c>
      <c r="G40" s="14">
        <v>0.1</v>
      </c>
      <c r="H40" s="12">
        <f t="shared" si="10"/>
        <v>3500000</v>
      </c>
      <c r="I40" s="12">
        <f t="shared" si="11"/>
        <v>38500000</v>
      </c>
      <c r="J40" s="17">
        <f t="shared" si="12"/>
        <v>0.04289215686</v>
      </c>
    </row>
    <row r="41" ht="15.75" customHeight="1">
      <c r="A41" s="9" t="s">
        <v>220</v>
      </c>
      <c r="B41" s="11" t="s">
        <v>221</v>
      </c>
      <c r="C41" s="11" t="s">
        <v>222</v>
      </c>
      <c r="D41" s="9">
        <v>1.0</v>
      </c>
      <c r="E41" s="9" t="s">
        <v>44</v>
      </c>
      <c r="F41" s="12">
        <v>2.8E7</v>
      </c>
      <c r="G41" s="14">
        <v>0.1</v>
      </c>
      <c r="H41" s="12">
        <f t="shared" si="10"/>
        <v>2800000</v>
      </c>
      <c r="I41" s="12">
        <f t="shared" si="11"/>
        <v>30800000</v>
      </c>
      <c r="J41" s="17">
        <f t="shared" si="12"/>
        <v>0.03431372549</v>
      </c>
    </row>
    <row r="42" ht="15.75" customHeight="1">
      <c r="A42" s="9" t="s">
        <v>223</v>
      </c>
      <c r="B42" s="11" t="s">
        <v>224</v>
      </c>
      <c r="C42" s="11" t="s">
        <v>225</v>
      </c>
      <c r="D42" s="9">
        <v>1.0</v>
      </c>
      <c r="E42" s="9" t="s">
        <v>44</v>
      </c>
      <c r="F42" s="12">
        <v>2.290909091E7</v>
      </c>
      <c r="G42" s="14">
        <v>0.1</v>
      </c>
      <c r="H42" s="12">
        <f t="shared" si="10"/>
        <v>2290909.091</v>
      </c>
      <c r="I42" s="12">
        <f t="shared" si="11"/>
        <v>25200000</v>
      </c>
      <c r="J42" s="17">
        <f t="shared" si="12"/>
        <v>0.02807486631</v>
      </c>
    </row>
    <row r="43" ht="15.75" customHeight="1">
      <c r="A43" s="18"/>
      <c r="B43" s="20" t="s">
        <v>226</v>
      </c>
      <c r="C43" s="18"/>
      <c r="D43" s="18"/>
      <c r="E43" s="18"/>
      <c r="F43" s="22">
        <f>SUM(F38:F42)</f>
        <v>155909090.9</v>
      </c>
      <c r="G43" s="23">
        <v>0.1</v>
      </c>
      <c r="H43" s="22">
        <f t="shared" si="10"/>
        <v>15590909.09</v>
      </c>
      <c r="I43" s="22">
        <f t="shared" si="11"/>
        <v>171500000</v>
      </c>
      <c r="J43" s="26">
        <f t="shared" si="12"/>
        <v>0.1910650624</v>
      </c>
    </row>
    <row r="44" ht="15.75" customHeight="1">
      <c r="A44" s="5" t="s">
        <v>227</v>
      </c>
      <c r="B44" s="6" t="s">
        <v>133</v>
      </c>
      <c r="C44" s="7"/>
      <c r="D44" s="7"/>
      <c r="E44" s="7"/>
      <c r="F44" s="7"/>
      <c r="G44" s="7"/>
      <c r="H44" s="7"/>
      <c r="I44" s="7"/>
      <c r="J44" s="8"/>
    </row>
    <row r="45" ht="15.75" customHeight="1">
      <c r="A45" s="9" t="s">
        <v>228</v>
      </c>
      <c r="B45" s="11" t="s">
        <v>229</v>
      </c>
      <c r="C45" s="11" t="s">
        <v>230</v>
      </c>
      <c r="D45" s="9">
        <v>1.0</v>
      </c>
      <c r="E45" s="9" t="s">
        <v>44</v>
      </c>
      <c r="F45" s="12">
        <v>2.0E7</v>
      </c>
      <c r="G45" s="14">
        <v>0.1</v>
      </c>
      <c r="H45" s="12">
        <f t="shared" ref="H45:H50" si="13">F45*G45</f>
        <v>2000000</v>
      </c>
      <c r="I45" s="12">
        <f t="shared" ref="I45:I50" si="14">F45+H45</f>
        <v>22000000</v>
      </c>
      <c r="J45" s="17">
        <f t="shared" ref="J45:J50" si="15">I45/$I$55</f>
        <v>0.02450980392</v>
      </c>
    </row>
    <row r="46" ht="15.75" customHeight="1">
      <c r="A46" s="9" t="s">
        <v>231</v>
      </c>
      <c r="B46" s="11" t="s">
        <v>232</v>
      </c>
      <c r="C46" s="11" t="s">
        <v>233</v>
      </c>
      <c r="D46" s="9">
        <v>1.0</v>
      </c>
      <c r="E46" s="9" t="s">
        <v>44</v>
      </c>
      <c r="F46" s="12">
        <v>1.5E7</v>
      </c>
      <c r="G46" s="14">
        <v>0.1</v>
      </c>
      <c r="H46" s="12">
        <f t="shared" si="13"/>
        <v>1500000</v>
      </c>
      <c r="I46" s="12">
        <f t="shared" si="14"/>
        <v>16500000</v>
      </c>
      <c r="J46" s="17">
        <f t="shared" si="15"/>
        <v>0.01838235294</v>
      </c>
    </row>
    <row r="47" ht="15.75" customHeight="1">
      <c r="A47" s="9" t="s">
        <v>234</v>
      </c>
      <c r="B47" s="11" t="s">
        <v>235</v>
      </c>
      <c r="C47" s="11" t="s">
        <v>236</v>
      </c>
      <c r="D47" s="9">
        <v>1.0</v>
      </c>
      <c r="E47" s="9" t="s">
        <v>44</v>
      </c>
      <c r="F47" s="12">
        <v>1.8E7</v>
      </c>
      <c r="G47" s="14">
        <v>0.1</v>
      </c>
      <c r="H47" s="12">
        <f t="shared" si="13"/>
        <v>1800000</v>
      </c>
      <c r="I47" s="12">
        <f t="shared" si="14"/>
        <v>19800000</v>
      </c>
      <c r="J47" s="17">
        <f t="shared" si="15"/>
        <v>0.02205882353</v>
      </c>
    </row>
    <row r="48" ht="15.75" customHeight="1">
      <c r="A48" s="9" t="s">
        <v>237</v>
      </c>
      <c r="B48" s="11" t="s">
        <v>238</v>
      </c>
      <c r="C48" s="11" t="s">
        <v>239</v>
      </c>
      <c r="D48" s="9">
        <v>1.0</v>
      </c>
      <c r="E48" s="9" t="s">
        <v>44</v>
      </c>
      <c r="F48" s="12">
        <v>2.0E7</v>
      </c>
      <c r="G48" s="14">
        <v>0.1</v>
      </c>
      <c r="H48" s="12">
        <f t="shared" si="13"/>
        <v>2000000</v>
      </c>
      <c r="I48" s="12">
        <f t="shared" si="14"/>
        <v>22000000</v>
      </c>
      <c r="J48" s="17">
        <f t="shared" si="15"/>
        <v>0.02450980392</v>
      </c>
    </row>
    <row r="49" ht="15.75" customHeight="1">
      <c r="A49" s="9" t="s">
        <v>240</v>
      </c>
      <c r="B49" s="11" t="s">
        <v>241</v>
      </c>
      <c r="C49" s="11" t="s">
        <v>242</v>
      </c>
      <c r="D49" s="9">
        <v>1.0</v>
      </c>
      <c r="E49" s="9" t="s">
        <v>44</v>
      </c>
      <c r="F49" s="12">
        <v>1.0E7</v>
      </c>
      <c r="G49" s="14">
        <v>0.1</v>
      </c>
      <c r="H49" s="12">
        <f t="shared" si="13"/>
        <v>1000000</v>
      </c>
      <c r="I49" s="12">
        <f t="shared" si="14"/>
        <v>11000000</v>
      </c>
      <c r="J49" s="17">
        <f t="shared" si="15"/>
        <v>0.01225490196</v>
      </c>
    </row>
    <row r="50" ht="15.75" customHeight="1">
      <c r="A50" s="18"/>
      <c r="B50" s="20" t="s">
        <v>243</v>
      </c>
      <c r="C50" s="18"/>
      <c r="D50" s="18"/>
      <c r="E50" s="18"/>
      <c r="F50" s="22">
        <f>SUM(F45:F49)</f>
        <v>83000000</v>
      </c>
      <c r="G50" s="23">
        <v>0.1</v>
      </c>
      <c r="H50" s="22">
        <f t="shared" si="13"/>
        <v>8300000</v>
      </c>
      <c r="I50" s="22">
        <f t="shared" si="14"/>
        <v>91300000</v>
      </c>
      <c r="J50" s="26">
        <f t="shared" si="15"/>
        <v>0.1017156863</v>
      </c>
    </row>
    <row r="51" ht="15.75" customHeight="1">
      <c r="A51" s="5" t="s">
        <v>244</v>
      </c>
      <c r="B51" s="6" t="s">
        <v>141</v>
      </c>
      <c r="C51" s="7"/>
      <c r="D51" s="7"/>
      <c r="E51" s="7"/>
      <c r="F51" s="7"/>
      <c r="G51" s="7"/>
      <c r="H51" s="7"/>
      <c r="I51" s="7"/>
      <c r="J51" s="8"/>
    </row>
    <row r="52" ht="15.75" customHeight="1">
      <c r="A52" s="9" t="s">
        <v>245</v>
      </c>
      <c r="B52" s="11" t="s">
        <v>246</v>
      </c>
      <c r="C52" s="11" t="s">
        <v>247</v>
      </c>
      <c r="D52" s="9">
        <v>12.0</v>
      </c>
      <c r="E52" s="9" t="s">
        <v>248</v>
      </c>
      <c r="F52" s="12">
        <v>3.1636363636368E7</v>
      </c>
      <c r="G52" s="14">
        <v>0.1</v>
      </c>
      <c r="H52" s="12">
        <f t="shared" ref="H52:H53" si="16">F52*G52</f>
        <v>3163636.364</v>
      </c>
      <c r="I52" s="12">
        <f t="shared" ref="I52:I53" si="17">F52+H52</f>
        <v>34800000</v>
      </c>
      <c r="J52" s="17">
        <f t="shared" ref="J52:J53" si="18">I52/$I$55</f>
        <v>0.03877005348</v>
      </c>
    </row>
    <row r="53" ht="15.75" customHeight="1">
      <c r="A53" s="18"/>
      <c r="B53" s="20" t="s">
        <v>249</v>
      </c>
      <c r="C53" s="18"/>
      <c r="D53" s="18"/>
      <c r="E53" s="18"/>
      <c r="F53" s="22">
        <f>F52</f>
        <v>31636363.64</v>
      </c>
      <c r="G53" s="23">
        <v>0.1</v>
      </c>
      <c r="H53" s="22">
        <f t="shared" si="16"/>
        <v>3163636.364</v>
      </c>
      <c r="I53" s="22">
        <f t="shared" si="17"/>
        <v>34800000</v>
      </c>
      <c r="J53" s="26">
        <f t="shared" si="18"/>
        <v>0.03877005348</v>
      </c>
    </row>
    <row r="54" ht="15.75" customHeight="1"/>
    <row r="55" ht="15.75" customHeight="1">
      <c r="A55" s="19"/>
      <c r="B55" s="19" t="s">
        <v>250</v>
      </c>
      <c r="C55" s="19"/>
      <c r="D55" s="19"/>
      <c r="E55" s="19"/>
      <c r="F55" s="24">
        <f>F10+F30+F36+F43+F50+F53</f>
        <v>816000000</v>
      </c>
      <c r="G55" s="21">
        <v>0.1</v>
      </c>
      <c r="H55" s="24">
        <f t="shared" ref="H55:I55" si="19">H10+H30+H36+H43+H50+H53</f>
        <v>81600000</v>
      </c>
      <c r="I55" s="24">
        <f t="shared" si="19"/>
        <v>897600000</v>
      </c>
      <c r="J55" s="21">
        <f>SUM(J10,J30,J36,J43,J50,J53)</f>
        <v>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5:J5"/>
    <mergeCell ref="B11:J11"/>
    <mergeCell ref="B31:J31"/>
    <mergeCell ref="B37:J37"/>
    <mergeCell ref="B44:J44"/>
    <mergeCell ref="B51:J5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0"/>
    <col customWidth="1" min="2" max="2" width="22.0"/>
    <col customWidth="1" min="3" max="4" width="27.0"/>
    <col customWidth="1" min="5" max="5" width="15.0"/>
    <col customWidth="1" min="6" max="6" width="28.0"/>
    <col customWidth="1" min="7" max="7" width="15.0"/>
    <col customWidth="1" min="8" max="8" width="51.0"/>
    <col customWidth="1" min="9" max="26" width="8.71"/>
  </cols>
  <sheetData>
    <row r="1">
      <c r="A1" s="1" t="s">
        <v>13</v>
      </c>
    </row>
    <row r="2">
      <c r="A2" s="2" t="s">
        <v>17</v>
      </c>
    </row>
    <row r="4">
      <c r="A4" s="4" t="s">
        <v>21</v>
      </c>
      <c r="B4" s="4" t="s">
        <v>24</v>
      </c>
      <c r="C4" s="4" t="s">
        <v>25</v>
      </c>
      <c r="D4" s="4" t="s">
        <v>28</v>
      </c>
      <c r="E4" s="4" t="s">
        <v>30</v>
      </c>
      <c r="F4" s="4" t="s">
        <v>31</v>
      </c>
      <c r="G4" s="4" t="s">
        <v>20</v>
      </c>
      <c r="H4" s="4" t="s">
        <v>34</v>
      </c>
    </row>
    <row r="5">
      <c r="A5" s="9">
        <v>1.0</v>
      </c>
      <c r="B5" s="11" t="s">
        <v>39</v>
      </c>
      <c r="C5" s="11" t="s">
        <v>42</v>
      </c>
      <c r="D5" s="12">
        <v>300000.0</v>
      </c>
      <c r="E5" s="13">
        <v>220.0</v>
      </c>
      <c r="F5" s="12">
        <f t="shared" ref="F5:F14" si="1">D5*E5</f>
        <v>66000000</v>
      </c>
      <c r="G5" s="17">
        <f t="shared" ref="G5:G14" si="2">F5/$F$16</f>
        <v>0.08337122935</v>
      </c>
      <c r="H5" s="11" t="s">
        <v>52</v>
      </c>
    </row>
    <row r="6">
      <c r="A6" s="9">
        <v>2.0</v>
      </c>
      <c r="B6" s="11" t="s">
        <v>54</v>
      </c>
      <c r="C6" s="11" t="s">
        <v>55</v>
      </c>
      <c r="D6" s="12">
        <v>280000.0</v>
      </c>
      <c r="E6" s="13">
        <v>296.0</v>
      </c>
      <c r="F6" s="12">
        <f t="shared" si="1"/>
        <v>82880000</v>
      </c>
      <c r="G6" s="17">
        <f t="shared" si="2"/>
        <v>0.1046940529</v>
      </c>
      <c r="H6" s="11" t="s">
        <v>61</v>
      </c>
    </row>
    <row r="7">
      <c r="A7" s="9">
        <v>3.0</v>
      </c>
      <c r="B7" s="11" t="s">
        <v>64</v>
      </c>
      <c r="C7" s="11" t="s">
        <v>65</v>
      </c>
      <c r="D7" s="12">
        <v>250000.0</v>
      </c>
      <c r="E7" s="13">
        <v>440.4</v>
      </c>
      <c r="F7" s="12">
        <f t="shared" si="1"/>
        <v>110100000</v>
      </c>
      <c r="G7" s="17">
        <f t="shared" si="2"/>
        <v>0.139078369</v>
      </c>
      <c r="H7" s="11" t="s">
        <v>68</v>
      </c>
    </row>
    <row r="8">
      <c r="A8" s="9">
        <v>4.0</v>
      </c>
      <c r="B8" s="11" t="s">
        <v>71</v>
      </c>
      <c r="C8" s="11" t="s">
        <v>72</v>
      </c>
      <c r="D8" s="12">
        <v>220000.0</v>
      </c>
      <c r="E8" s="13">
        <v>160.0</v>
      </c>
      <c r="F8" s="12">
        <f t="shared" si="1"/>
        <v>35200000</v>
      </c>
      <c r="G8" s="17">
        <f t="shared" si="2"/>
        <v>0.04446465565</v>
      </c>
      <c r="H8" s="11" t="s">
        <v>77</v>
      </c>
    </row>
    <row r="9">
      <c r="A9" s="9">
        <v>5.0</v>
      </c>
      <c r="B9" s="11" t="s">
        <v>79</v>
      </c>
      <c r="C9" s="11" t="s">
        <v>80</v>
      </c>
      <c r="D9" s="12">
        <v>200000.0</v>
      </c>
      <c r="E9" s="13">
        <v>590.6</v>
      </c>
      <c r="F9" s="12">
        <f t="shared" si="1"/>
        <v>118120000</v>
      </c>
      <c r="G9" s="17">
        <f t="shared" si="2"/>
        <v>0.1492092365</v>
      </c>
      <c r="H9" s="11" t="s">
        <v>85</v>
      </c>
    </row>
    <row r="10">
      <c r="A10" s="9">
        <v>6.0</v>
      </c>
      <c r="B10" s="11" t="s">
        <v>86</v>
      </c>
      <c r="C10" s="11" t="s">
        <v>87</v>
      </c>
      <c r="D10" s="12">
        <v>200000.0</v>
      </c>
      <c r="E10" s="13">
        <v>590.6</v>
      </c>
      <c r="F10" s="12">
        <f t="shared" si="1"/>
        <v>118120000</v>
      </c>
      <c r="G10" s="17">
        <f t="shared" si="2"/>
        <v>0.1492092365</v>
      </c>
      <c r="H10" s="11" t="s">
        <v>89</v>
      </c>
    </row>
    <row r="11">
      <c r="A11" s="9">
        <v>7.0</v>
      </c>
      <c r="B11" s="11" t="s">
        <v>93</v>
      </c>
      <c r="C11" s="11" t="s">
        <v>95</v>
      </c>
      <c r="D11" s="12">
        <v>200000.0</v>
      </c>
      <c r="E11" s="13">
        <v>590.6</v>
      </c>
      <c r="F11" s="12">
        <f t="shared" si="1"/>
        <v>118120000</v>
      </c>
      <c r="G11" s="17">
        <f t="shared" si="2"/>
        <v>0.1492092365</v>
      </c>
      <c r="H11" s="11" t="s">
        <v>98</v>
      </c>
    </row>
    <row r="12">
      <c r="A12" s="9">
        <v>8.0</v>
      </c>
      <c r="B12" s="11" t="s">
        <v>99</v>
      </c>
      <c r="C12" s="11" t="s">
        <v>100</v>
      </c>
      <c r="D12" s="12">
        <v>180000.0</v>
      </c>
      <c r="E12" s="13">
        <v>279.5</v>
      </c>
      <c r="F12" s="12">
        <f t="shared" si="1"/>
        <v>50310000</v>
      </c>
      <c r="G12" s="17">
        <f t="shared" si="2"/>
        <v>0.06355161437</v>
      </c>
      <c r="H12" s="11" t="s">
        <v>102</v>
      </c>
    </row>
    <row r="13">
      <c r="A13" s="9">
        <v>9.0</v>
      </c>
      <c r="B13" s="11" t="s">
        <v>104</v>
      </c>
      <c r="C13" s="11" t="s">
        <v>105</v>
      </c>
      <c r="D13" s="12">
        <v>180000.0</v>
      </c>
      <c r="E13" s="13">
        <v>279.5</v>
      </c>
      <c r="F13" s="12">
        <f t="shared" si="1"/>
        <v>50310000</v>
      </c>
      <c r="G13" s="17">
        <f t="shared" si="2"/>
        <v>0.06355161437</v>
      </c>
      <c r="H13" s="11" t="s">
        <v>112</v>
      </c>
    </row>
    <row r="14">
      <c r="A14" s="9">
        <v>10.0</v>
      </c>
      <c r="B14" s="11" t="s">
        <v>113</v>
      </c>
      <c r="C14" s="11" t="s">
        <v>114</v>
      </c>
      <c r="D14" s="12">
        <v>180000.0</v>
      </c>
      <c r="E14" s="13">
        <v>236.0</v>
      </c>
      <c r="F14" s="12">
        <f t="shared" si="1"/>
        <v>42480000</v>
      </c>
      <c r="G14" s="17">
        <f t="shared" si="2"/>
        <v>0.05366075489</v>
      </c>
      <c r="H14" s="11" t="s">
        <v>115</v>
      </c>
    </row>
    <row r="16">
      <c r="A16" s="19" t="s">
        <v>116</v>
      </c>
      <c r="B16" s="19"/>
      <c r="C16" s="19"/>
      <c r="D16" s="19"/>
      <c r="E16" s="25">
        <f t="shared" ref="E16:G16" si="3">SUM(E5:E14)</f>
        <v>3683.2</v>
      </c>
      <c r="F16" s="24">
        <f t="shared" si="3"/>
        <v>791640000</v>
      </c>
      <c r="G16" s="21">
        <f t="shared" si="3"/>
        <v>1</v>
      </c>
      <c r="H16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7.0"/>
    <col customWidth="1" min="2" max="2" width="44.0"/>
    <col customWidth="1" min="3" max="3" width="15.0"/>
    <col customWidth="1" min="4" max="4" width="38.0"/>
    <col customWidth="1" min="5" max="5" width="68.0"/>
    <col customWidth="1" min="6" max="6" width="20.0"/>
    <col customWidth="1" min="7" max="26" width="8.71"/>
  </cols>
  <sheetData>
    <row r="1">
      <c r="A1" s="1" t="s">
        <v>18</v>
      </c>
    </row>
    <row r="2">
      <c r="A2" s="2" t="s">
        <v>22</v>
      </c>
    </row>
    <row r="4">
      <c r="A4" s="4" t="s">
        <v>27</v>
      </c>
      <c r="B4" s="4" t="s">
        <v>29</v>
      </c>
      <c r="C4" s="4" t="s">
        <v>32</v>
      </c>
      <c r="D4" s="4" t="s">
        <v>33</v>
      </c>
      <c r="E4" s="4" t="s">
        <v>35</v>
      </c>
      <c r="F4" s="4" t="s">
        <v>36</v>
      </c>
    </row>
    <row r="5">
      <c r="A5" s="9" t="s">
        <v>37</v>
      </c>
      <c r="B5" s="11" t="s">
        <v>40</v>
      </c>
      <c r="C5" s="14">
        <v>0.2</v>
      </c>
      <c r="D5" s="12">
        <f>'Cost Summary &amp; Dashboard'!H22*C5</f>
        <v>174160800</v>
      </c>
      <c r="E5" s="11" t="s">
        <v>46</v>
      </c>
      <c r="F5" s="9" t="s">
        <v>47</v>
      </c>
    </row>
    <row r="6">
      <c r="A6" s="9" t="s">
        <v>48</v>
      </c>
      <c r="B6" s="11" t="s">
        <v>50</v>
      </c>
      <c r="C6" s="14">
        <v>0.15</v>
      </c>
      <c r="D6" s="12">
        <f>'Cost Summary &amp; Dashboard'!H22*C6</f>
        <v>130620600</v>
      </c>
      <c r="E6" s="11" t="s">
        <v>57</v>
      </c>
      <c r="F6" s="9" t="s">
        <v>58</v>
      </c>
    </row>
    <row r="7">
      <c r="A7" s="9" t="s">
        <v>60</v>
      </c>
      <c r="B7" s="11" t="s">
        <v>62</v>
      </c>
      <c r="C7" s="14">
        <v>0.2</v>
      </c>
      <c r="D7" s="12">
        <f>'Cost Summary &amp; Dashboard'!H22*C7</f>
        <v>174160800</v>
      </c>
      <c r="E7" s="11" t="s">
        <v>69</v>
      </c>
      <c r="F7" s="9" t="s">
        <v>70</v>
      </c>
    </row>
    <row r="8">
      <c r="A8" s="9" t="s">
        <v>73</v>
      </c>
      <c r="B8" s="11" t="s">
        <v>74</v>
      </c>
      <c r="C8" s="14">
        <v>0.25</v>
      </c>
      <c r="D8" s="12">
        <f>'Cost Summary &amp; Dashboard'!H22*C8</f>
        <v>217701000</v>
      </c>
      <c r="E8" s="11" t="s">
        <v>81</v>
      </c>
      <c r="F8" s="9" t="s">
        <v>82</v>
      </c>
    </row>
    <row r="9">
      <c r="A9" s="9" t="s">
        <v>83</v>
      </c>
      <c r="B9" s="11" t="s">
        <v>84</v>
      </c>
      <c r="C9" s="14">
        <v>0.1</v>
      </c>
      <c r="D9" s="12">
        <f>'Cost Summary &amp; Dashboard'!H22*C9</f>
        <v>87080400</v>
      </c>
      <c r="E9" s="11" t="s">
        <v>91</v>
      </c>
      <c r="F9" s="9" t="s">
        <v>94</v>
      </c>
    </row>
    <row r="10">
      <c r="A10" s="9" t="s">
        <v>96</v>
      </c>
      <c r="B10" s="11" t="s">
        <v>97</v>
      </c>
      <c r="C10" s="14">
        <v>0.1</v>
      </c>
      <c r="D10" s="12">
        <f>'Cost Summary &amp; Dashboard'!H22*C10</f>
        <v>87080400</v>
      </c>
      <c r="E10" s="11" t="s">
        <v>101</v>
      </c>
      <c r="F10" s="9" t="s">
        <v>103</v>
      </c>
    </row>
    <row r="11">
      <c r="A11" s="19" t="s">
        <v>107</v>
      </c>
      <c r="B11" s="19"/>
      <c r="C11" s="21">
        <f t="shared" ref="C11:D11" si="1">SUM(C5:C10)</f>
        <v>1</v>
      </c>
      <c r="D11" s="24">
        <f t="shared" si="1"/>
        <v>870804000</v>
      </c>
      <c r="E11" s="19"/>
      <c r="F11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2026-10-17T18:01:09Z</dcterms:created>
  <dc:creator>openpyxl</dc:creator>
</cp:coreProperties>
</file>