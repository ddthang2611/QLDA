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Selection Deci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VNĐ&quot;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/>
    </xf>
    <xf numFmtId="0" fontId="7" fillId="5" borderId="3" pivotButton="0" quotePrefix="0" xfId="0"/>
    <xf numFmtId="164" fontId="7" fillId="5" borderId="3" applyAlignment="1" pivotButton="0" quotePrefix="0" xfId="0">
      <alignment horizontal="right" vertical="center"/>
    </xf>
    <xf numFmtId="2" fontId="7" fillId="5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7" borderId="2" applyAlignment="1" pivotButton="0" quotePrefix="0" xfId="0">
      <alignment horizontal="center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42" customWidth="1" min="2" max="2"/>
    <col width="22" customWidth="1" min="3" max="3"/>
    <col width="29" customWidth="1" min="4" max="4"/>
    <col width="28" customWidth="1" min="5" max="5"/>
    <col width="24" customWidth="1" min="6" max="6"/>
    <col width="35" customWidth="1" min="7" max="7"/>
    <col width="25" customWidth="1" min="8" max="8"/>
    <col width="25" customWidth="1" min="9" max="9"/>
    <col width="35" customWidth="1" min="10" max="10"/>
    <col width="26" customWidth="1" min="11" max="11"/>
    <col width="23" customWidth="1" min="12" max="12"/>
  </cols>
  <sheetData>
    <row r="1">
      <c r="A1" s="1" t="inlineStr">
        <is>
          <t>DANH MỤC QUẢN LÝ DỰ ÁN CÔNG NGHỆ (PROJECT PORTFOLIO MANAGEMENT)</t>
        </is>
      </c>
    </row>
    <row r="2">
      <c r="A2" s="2" t="inlineStr">
        <is>
          <t>Dựa trên mẫu chuẩn ICTPM05 Slide 35 &amp; Dữ liệu thực tế Dự án ABC Wear (ABC-WSS-PM_26I_09)</t>
        </is>
      </c>
    </row>
    <row r="3"/>
    <row r="4">
      <c r="A4" s="3" t="inlineStr">
        <is>
          <t>TỔNG NGÂN SÁCH DANH MỤC</t>
        </is>
      </c>
      <c r="B4" s="4" t="n"/>
      <c r="C4" s="4" t="n"/>
      <c r="D4" s="3" t="inlineStr">
        <is>
          <t>TỔNG CHI PHÍ THỰC TẾ (AC)</t>
        </is>
      </c>
      <c r="E4" s="4" t="n"/>
      <c r="F4" s="4" t="n"/>
      <c r="G4" s="3" t="inlineStr">
        <is>
          <t>CHỈ SỐ TIẾN ĐỘ TRUNG BÌNH (SPI)</t>
        </is>
      </c>
      <c r="H4" s="4" t="n"/>
      <c r="I4" s="4" t="n"/>
      <c r="J4" s="3" t="inlineStr">
        <is>
          <t>CHỈ SỐ CHI PHÍ TRUNG BÌNH (CPI)</t>
        </is>
      </c>
      <c r="K4" s="4" t="n"/>
      <c r="L4" s="4" t="n"/>
    </row>
    <row r="5">
      <c r="A5" s="5">
        <f>SUM(E9:E12)</f>
        <v/>
      </c>
      <c r="B5" s="4" t="n"/>
      <c r="C5" s="4" t="n"/>
      <c r="D5" s="5">
        <f>SUM(F9:F12)</f>
        <v/>
      </c>
      <c r="E5" s="4" t="n"/>
      <c r="F5" s="4" t="n"/>
      <c r="G5" s="6">
        <f>AVERAGE(I9:I12)</f>
        <v/>
      </c>
      <c r="H5" s="4" t="n"/>
      <c r="I5" s="4" t="n"/>
      <c r="J5" s="6">
        <f>AVERAGE(J9:J12)</f>
        <v/>
      </c>
      <c r="K5" s="4" t="n"/>
      <c r="L5" s="4" t="n"/>
    </row>
    <row r="6"/>
    <row r="7"/>
    <row r="8">
      <c r="A8" s="7" t="inlineStr">
        <is>
          <t>Mã Dự Án</t>
        </is>
      </c>
      <c r="B8" s="7" t="inlineStr">
        <is>
          <t>Tên Dự Án</t>
        </is>
      </c>
      <c r="C8" s="7" t="inlineStr">
        <is>
          <t>Quản Lý Dự Án (PM)</t>
        </is>
      </c>
      <c r="D8" s="7" t="inlineStr">
        <is>
          <t>Trạng Thái</t>
        </is>
      </c>
      <c r="E8" s="7" t="inlineStr">
        <is>
          <t>Ngân Sách Baseline (BAC)</t>
        </is>
      </c>
      <c r="F8" s="7" t="inlineStr">
        <is>
          <t>Chi Phí Thực Tế (AC)</t>
        </is>
      </c>
      <c r="G8" s="7" t="inlineStr">
        <is>
          <t>Giá Trị Đạt Được (EV)</t>
        </is>
      </c>
      <c r="H8" s="7" t="inlineStr">
        <is>
          <t>Giá Trị Kế Hoạch (PV)</t>
        </is>
      </c>
      <c r="I8" s="7" t="inlineStr">
        <is>
          <t>Chỉ Số SPI (EV/PV)</t>
        </is>
      </c>
      <c r="J8" s="7" t="inlineStr">
        <is>
          <t>Chỉ Số CPI (EV/AC)</t>
        </is>
      </c>
      <c r="K8" s="7" t="inlineStr">
        <is>
          <t>Điểm Chiến Lược (1-10)</t>
        </is>
      </c>
      <c r="L8" s="7" t="inlineStr">
        <is>
          <t>Quyết Định Danh Mục</t>
        </is>
      </c>
    </row>
    <row r="9">
      <c r="A9" s="8" t="inlineStr">
        <is>
          <t>PRJ-01</t>
        </is>
      </c>
      <c r="B9" s="9" t="inlineStr">
        <is>
          <t>Hệ thống Website Bán hàng Online ABC Wear</t>
        </is>
      </c>
      <c r="C9" s="9" t="inlineStr">
        <is>
          <t>Nguyễn Đức Tân</t>
        </is>
      </c>
      <c r="D9" s="8" t="inlineStr">
        <is>
          <t>Closing</t>
        </is>
      </c>
      <c r="E9" s="10" t="n">
        <v>897600000</v>
      </c>
      <c r="F9" s="10" t="n">
        <v>897600000</v>
      </c>
      <c r="G9" s="10" t="n">
        <v>897600000</v>
      </c>
      <c r="H9" s="10" t="n">
        <v>897600000</v>
      </c>
      <c r="I9" s="11">
        <f>IFERROR(G9/H9,1.0)</f>
        <v/>
      </c>
      <c r="J9" s="11">
        <f>IFERROR(G9/F9,1.0)</f>
        <v/>
      </c>
      <c r="K9" s="12" t="n">
        <v>9.5</v>
      </c>
      <c r="L9" s="9" t="inlineStr">
        <is>
          <t>Phê duyệt &amp; Duy trì</t>
        </is>
      </c>
    </row>
    <row r="10">
      <c r="A10" s="13" t="inlineStr">
        <is>
          <t>PRJ-02</t>
        </is>
      </c>
      <c r="B10" s="14" t="inlineStr">
        <is>
          <t>Ứng dụng Mobile App Khách hàng thân thiết</t>
        </is>
      </c>
      <c r="C10" s="14" t="inlineStr">
        <is>
          <t>Lê Hoàng Nam</t>
        </is>
      </c>
      <c r="D10" s="13" t="inlineStr">
        <is>
          <t>Executing</t>
        </is>
      </c>
      <c r="E10" s="15" t="n">
        <v>650000000</v>
      </c>
      <c r="F10" s="15" t="n">
        <v>320000000</v>
      </c>
      <c r="G10" s="15" t="n">
        <v>350000000</v>
      </c>
      <c r="H10" s="15" t="n">
        <v>360000000</v>
      </c>
      <c r="I10" s="16">
        <f>IFERROR(G10/H10,1.0)</f>
        <v/>
      </c>
      <c r="J10" s="16">
        <f>IFERROR(G10/F10,1.0)</f>
        <v/>
      </c>
      <c r="K10" s="17" t="n">
        <v>8.5</v>
      </c>
      <c r="L10" s="14" t="inlineStr">
        <is>
          <t>Mở rộng đầu tư</t>
        </is>
      </c>
    </row>
    <row r="11">
      <c r="A11" s="8" t="inlineStr">
        <is>
          <t>PRJ-03</t>
        </is>
      </c>
      <c r="B11" s="9" t="inlineStr">
        <is>
          <t>Nâng cấp Hệ thống ERP Quản lý Kho</t>
        </is>
      </c>
      <c r="C11" s="9" t="inlineStr">
        <is>
          <t>Phạm Minh Tuấn</t>
        </is>
      </c>
      <c r="D11" s="8" t="inlineStr">
        <is>
          <t>Planning</t>
        </is>
      </c>
      <c r="E11" s="10" t="n">
        <v>1200000000</v>
      </c>
      <c r="F11" s="10" t="n">
        <v>150000000</v>
      </c>
      <c r="G11" s="10" t="n">
        <v>150000000</v>
      </c>
      <c r="H11" s="10" t="n">
        <v>150000000</v>
      </c>
      <c r="I11" s="11">
        <f>IFERROR(G11/H11,1.0)</f>
        <v/>
      </c>
      <c r="J11" s="11">
        <f>IFERROR(G11/F11,1.0)</f>
        <v/>
      </c>
      <c r="K11" s="12" t="n">
        <v>9</v>
      </c>
      <c r="L11" s="9" t="inlineStr">
        <is>
          <t>Giám sát rủi ro</t>
        </is>
      </c>
    </row>
    <row r="12">
      <c r="A12" s="13" t="inlineStr">
        <is>
          <t>PRJ-04</t>
        </is>
      </c>
      <c r="B12" s="14" t="inlineStr">
        <is>
          <t>Tích hợp Cổng thanh toán Omni-channel &amp; POS</t>
        </is>
      </c>
      <c r="C12" s="14" t="inlineStr">
        <is>
          <t>Trần Vũ Linh</t>
        </is>
      </c>
      <c r="D12" s="13" t="inlineStr">
        <is>
          <t>Initiation</t>
        </is>
      </c>
      <c r="E12" s="15" t="n">
        <v>450000000</v>
      </c>
      <c r="F12" s="15" t="n">
        <v>50000000</v>
      </c>
      <c r="G12" s="15" t="n">
        <v>50000000</v>
      </c>
      <c r="H12" s="15" t="n">
        <v>50000000</v>
      </c>
      <c r="I12" s="16">
        <f>IFERROR(G12/H12,1.0)</f>
        <v/>
      </c>
      <c r="J12" s="16">
        <f>IFERROR(G12/F12,1.0)</f>
        <v/>
      </c>
      <c r="K12" s="17" t="n">
        <v>8</v>
      </c>
      <c r="L12" s="14" t="inlineStr">
        <is>
          <t>Duyệt khởi động</t>
        </is>
      </c>
    </row>
    <row r="13">
      <c r="A13" s="18" t="inlineStr">
        <is>
          <t>TỔNG CỘNG DANH MỤC</t>
        </is>
      </c>
      <c r="B13" s="19" t="n"/>
      <c r="C13" s="19" t="n"/>
      <c r="D13" s="19" t="n"/>
      <c r="E13" s="20">
        <f>SUM(E9:E12)</f>
        <v/>
      </c>
      <c r="F13" s="20">
        <f>SUM(F9:F12)</f>
        <v/>
      </c>
      <c r="G13" s="20">
        <f>SUM(G9:G12)</f>
        <v/>
      </c>
      <c r="H13" s="20">
        <f>SUM(H9:H12)</f>
        <v/>
      </c>
      <c r="I13" s="21">
        <f>AVERAGE(I9:I12)</f>
        <v/>
      </c>
      <c r="J13" s="21">
        <f>AVERAGE(J9:J12)</f>
        <v/>
      </c>
      <c r="K13" s="22">
        <f>AVERAGE(K9:K12)</f>
        <v/>
      </c>
      <c r="L13" s="19" t="n"/>
    </row>
  </sheetData>
  <mergeCells count="8">
    <mergeCell ref="J5:L5"/>
    <mergeCell ref="D5:F5"/>
    <mergeCell ref="A5:C5"/>
    <mergeCell ref="G5:I5"/>
    <mergeCell ref="D4:F4"/>
    <mergeCell ref="G4:I4"/>
    <mergeCell ref="J4:L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42" customWidth="1" min="2" max="2"/>
    <col width="29" customWidth="1" min="3" max="3"/>
    <col width="35" customWidth="1" min="4" max="4"/>
    <col width="126" customWidth="1" min="5" max="5"/>
    <col width="29" customWidth="1" min="6" max="6"/>
    <col width="29" customWidth="1" min="7" max="7"/>
    <col width="30" customWidth="1" min="8" max="8"/>
    <col width="21" customWidth="1" min="9" max="9"/>
    <col width="28" customWidth="1" min="10" max="10"/>
  </cols>
  <sheetData>
    <row r="1">
      <c r="A1" s="1" t="inlineStr">
        <is>
          <t>MA TRẬN QUYẾT ĐỊNH LỰA CHỌN DỰ ÁN (PROJECT SELECTION DECISION MATRIX)</t>
        </is>
      </c>
    </row>
    <row r="2">
      <c r="A2" s="2" t="inlineStr">
        <is>
          <t>Dựa trên mẫu chuẩn ICTPM05 - Đánh giá, chấm điểm và trọng số hóa các tiêu chí dự án</t>
        </is>
      </c>
    </row>
    <row r="3"/>
    <row r="4"/>
    <row r="5">
      <c r="A5" s="7" t="inlineStr">
        <is>
          <t>Mã Dự Án</t>
        </is>
      </c>
      <c r="B5" s="7" t="inlineStr">
        <is>
          <t>Tên Dự Án</t>
        </is>
      </c>
      <c r="C5" s="7" t="inlineStr">
        <is>
          <t>Căn Chỉnh Chiến Lược (30%)</t>
        </is>
      </c>
      <c r="D5" s="7" t="inlineStr">
        <is>
          <t>Hiệu Quả ROI &amp; Lợi Ích (25%)</t>
        </is>
      </c>
      <c r="E5" s="7" t="inlineStr">
        <is>
          <t>Mức Độ Rủi Ro Trọng Yếu (20%)</t>
        </is>
      </c>
      <c r="F5" s="7" t="inlineStr">
        <is>
          <t>Năng Lực &amp; Nguồn Lực (15%)</t>
        </is>
      </c>
      <c r="G5" s="7" t="inlineStr">
        <is>
          <t>Thời Gian Hoàn Thành (10%)</t>
        </is>
      </c>
      <c r="H5" s="7" t="inlineStr">
        <is>
          <t>Điểm Tổng Hợp (Weighted Score)</t>
        </is>
      </c>
      <c r="I5" s="7" t="inlineStr">
        <is>
          <t>Xếp Hạng Ưu Tiên</t>
        </is>
      </c>
      <c r="J5" s="7" t="inlineStr">
        <is>
          <t>Kết Luận Phê Duyệt</t>
        </is>
      </c>
    </row>
    <row r="6">
      <c r="A6" s="13" t="inlineStr">
        <is>
          <t>PRJ-01</t>
        </is>
      </c>
      <c r="B6" s="14" t="inlineStr">
        <is>
          <t>Hệ thống Website Bán hàng Online ABC Wear</t>
        </is>
      </c>
      <c r="C6" s="17" t="n">
        <v>9.5</v>
      </c>
      <c r="D6" s="17" t="n">
        <v>9</v>
      </c>
      <c r="E6" s="17" t="n">
        <v>8.5</v>
      </c>
      <c r="F6" s="17" t="n">
        <v>9.5</v>
      </c>
      <c r="G6" s="17" t="n">
        <v>9</v>
      </c>
      <c r="H6" s="23">
        <f>C6*0.3 + D6*0.25 + E6*0.2 + F6*0.15 + G6*0.1</f>
        <v/>
      </c>
      <c r="I6" s="24">
        <f>RANK(H6, H$6:H$9)</f>
        <v/>
      </c>
      <c r="J6" s="14" t="inlineStr">
        <is>
          <t>Ưu tiên hàng đầu (Rank 1)</t>
        </is>
      </c>
    </row>
    <row r="7">
      <c r="A7" s="8" t="inlineStr">
        <is>
          <t>PRJ-02</t>
        </is>
      </c>
      <c r="B7" s="9" t="inlineStr">
        <is>
          <t>Ứng dụng Mobile App Khách hàng thân thiết</t>
        </is>
      </c>
      <c r="C7" s="12" t="n">
        <v>8.5</v>
      </c>
      <c r="D7" s="12" t="n">
        <v>8.5</v>
      </c>
      <c r="E7" s="12" t="n">
        <v>8</v>
      </c>
      <c r="F7" s="12" t="n">
        <v>8</v>
      </c>
      <c r="G7" s="12" t="n">
        <v>8.5</v>
      </c>
      <c r="H7" s="23">
        <f>C7*0.3 + D7*0.25 + E7*0.2 + F7*0.15 + G7*0.1</f>
        <v/>
      </c>
      <c r="I7" s="25">
        <f>RANK(H7, H$6:H$9)</f>
        <v/>
      </c>
      <c r="J7" s="9" t="inlineStr">
        <is>
          <t>Duyệt triển khai (Rank 2)</t>
        </is>
      </c>
    </row>
    <row r="8">
      <c r="A8" s="13" t="inlineStr">
        <is>
          <t>PRJ-03</t>
        </is>
      </c>
      <c r="B8" s="14" t="inlineStr">
        <is>
          <t>Nâng cấp Hệ thống ERP Quản lý Kho</t>
        </is>
      </c>
      <c r="C8" s="17" t="n">
        <v>9</v>
      </c>
      <c r="D8" s="17" t="n">
        <v>7.5</v>
      </c>
      <c r="E8" s="17" t="n">
        <v>7</v>
      </c>
      <c r="F8" s="17" t="n">
        <v>8</v>
      </c>
      <c r="G8" s="17" t="n">
        <v>7.5</v>
      </c>
      <c r="H8" s="23">
        <f>C8*0.3 + D8*0.25 + E8*0.2 + F8*0.15 + G8*0.1</f>
        <v/>
      </c>
      <c r="I8" s="24">
        <f>RANK(H8, H$6:H$9)</f>
        <v/>
      </c>
      <c r="J8" s="14" t="inlineStr">
        <is>
          <t>Duyệt có điều kiện (Rank 3)</t>
        </is>
      </c>
    </row>
    <row r="9">
      <c r="A9" s="8" t="inlineStr">
        <is>
          <t>PRJ-04</t>
        </is>
      </c>
      <c r="B9" s="9" t="inlineStr">
        <is>
          <t>Tích hợp Cổng thanh toán Omni-channel &amp; POS</t>
        </is>
      </c>
      <c r="C9" s="12" t="n">
        <v>8</v>
      </c>
      <c r="D9" s="12" t="n">
        <v>8</v>
      </c>
      <c r="E9" s="12" t="n">
        <v>7.5</v>
      </c>
      <c r="F9" s="12" t="n">
        <v>7.5</v>
      </c>
      <c r="G9" s="12" t="n">
        <v>8</v>
      </c>
      <c r="H9" s="23">
        <f>C9*0.3 + D9*0.25 + E9*0.2 + F9*0.15 + G9*0.1</f>
        <v/>
      </c>
      <c r="I9" s="25">
        <f>RANK(H9, H$6:H$9)</f>
        <v/>
      </c>
      <c r="J9" s="9" t="inlineStr">
        <is>
          <t>Xem xét bổ sung (Rank 4)</t>
        </is>
      </c>
    </row>
    <row r="10">
      <c r="A10" s="18" t="inlineStr">
        <is>
          <t>ĐIỂM TRUNG BÌNH DANH MỤC</t>
        </is>
      </c>
      <c r="B10" s="19" t="n"/>
      <c r="C10" s="21">
        <f>AVERAGE(C6:C9)</f>
        <v/>
      </c>
      <c r="D10" s="21">
        <f>AVERAGE(D6:D9)</f>
        <v/>
      </c>
      <c r="E10" s="21">
        <f>AVERAGE(E6:E9)</f>
        <v/>
      </c>
      <c r="F10" s="21">
        <f>AVERAGE(F6:F9)</f>
        <v/>
      </c>
      <c r="G10" s="21">
        <f>AVERAGE(G6:G9)</f>
        <v/>
      </c>
      <c r="H10" s="19" t="n"/>
      <c r="I10" s="19" t="n"/>
      <c r="J10" s="19" t="n"/>
    </row>
    <row r="11"/>
    <row r="12"/>
    <row r="13">
      <c r="A13" s="26" t="inlineStr">
        <is>
          <t>BẢNG GIẢI THÍCH TIÊU CHÍ ĐÁNH GIÁ VÀ TRỌNG SỐ</t>
        </is>
      </c>
    </row>
    <row r="14"/>
    <row r="15">
      <c r="A15" s="27" t="inlineStr">
        <is>
          <t>STT</t>
        </is>
      </c>
      <c r="B15" s="27" t="inlineStr">
        <is>
          <t>Tên Tiêu Chí</t>
        </is>
      </c>
      <c r="D15" s="27" t="inlineStr">
        <is>
          <t>Mô Tả Chi Tiết / Căn Cứ Đánh Giá</t>
        </is>
      </c>
    </row>
    <row r="16">
      <c r="A16" s="8" t="n">
        <v>1</v>
      </c>
      <c r="B16" s="9" t="inlineStr">
        <is>
          <t>Căn Chỉnh Chiến Lược</t>
        </is>
      </c>
      <c r="C16" s="28" t="n"/>
      <c r="D16" s="8" t="inlineStr">
        <is>
          <t>30%</t>
        </is>
      </c>
      <c r="E16" s="9" t="inlineStr">
        <is>
          <t>Mức độ đóng góp vào mục tiêu chuyển đổi số và phát triển hệ sinh thái chuỗi bán lẻ ABC Wear.</t>
        </is>
      </c>
      <c r="F16" s="28" t="n"/>
      <c r="G16" s="28" t="n"/>
      <c r="H16" s="28" t="n"/>
      <c r="I16" s="28" t="n"/>
      <c r="J16" s="28" t="n"/>
    </row>
    <row r="17">
      <c r="A17" s="8" t="n">
        <v>2</v>
      </c>
      <c r="B17" s="9" t="inlineStr">
        <is>
          <t>Hiệu Quả ROI &amp; Lợi Ích</t>
        </is>
      </c>
      <c r="C17" s="28" t="n"/>
      <c r="D17" s="8" t="inlineStr">
        <is>
          <t>25%</t>
        </is>
      </c>
      <c r="E17" s="9" t="inlineStr">
        <is>
          <t>Tỷ lệ hoàn vốn đầu tư, khả năng tăng trưởng doanh thu bán hàng online và tối ưu hóa vận hành.</t>
        </is>
      </c>
      <c r="F17" s="28" t="n"/>
      <c r="G17" s="28" t="n"/>
      <c r="H17" s="28" t="n"/>
      <c r="I17" s="28" t="n"/>
      <c r="J17" s="28" t="n"/>
    </row>
    <row r="18">
      <c r="A18" s="8" t="n">
        <v>3</v>
      </c>
      <c r="B18" s="9" t="inlineStr">
        <is>
          <t>Mức Độ Rủi Ro Trọng Yếu</t>
        </is>
      </c>
      <c r="C18" s="28" t="n"/>
      <c r="D18" s="8" t="inlineStr">
        <is>
          <t>20%</t>
        </is>
      </c>
      <c r="E18" s="9" t="inlineStr">
        <is>
          <t>Khả năng kiểm soát rủi ro an toàn thông tin, bảo mật thanh toán và rủi ro gián đoạn tiến độ (Thang điểm cao = rủi ro thấp).</t>
        </is>
      </c>
      <c r="F18" s="28" t="n"/>
      <c r="G18" s="28" t="n"/>
      <c r="H18" s="28" t="n"/>
      <c r="I18" s="28" t="n"/>
      <c r="J18" s="28" t="n"/>
    </row>
    <row r="19">
      <c r="A19" s="8" t="n">
        <v>4</v>
      </c>
      <c r="B19" s="9" t="inlineStr">
        <is>
          <t>Năng Lực &amp; Nguồn Lực</t>
        </is>
      </c>
      <c r="C19" s="28" t="n"/>
      <c r="D19" s="8" t="inlineStr">
        <is>
          <t>15%</t>
        </is>
      </c>
      <c r="E19" s="9" t="inlineStr">
        <is>
          <t>Mức độ sẵn sàng của đội ngũ nhân sự, hạ tầng kỹ thuật và khả năng làm chủ công nghệ/mã nguồn.</t>
        </is>
      </c>
      <c r="F19" s="28" t="n"/>
      <c r="G19" s="28" t="n"/>
      <c r="H19" s="28" t="n"/>
      <c r="I19" s="28" t="n"/>
      <c r="J19" s="28" t="n"/>
    </row>
    <row r="20">
      <c r="A20" s="8" t="n">
        <v>5</v>
      </c>
      <c r="B20" s="9" t="inlineStr">
        <is>
          <t>Thời Gian Hoàn Thành</t>
        </is>
      </c>
      <c r="C20" s="28" t="n"/>
      <c r="D20" s="8" t="inlineStr">
        <is>
          <t>10%</t>
        </is>
      </c>
      <c r="E20" s="9" t="inlineStr">
        <is>
          <t>Tính khả thi về tiến độ triển khai ngắn, nhanh chóng đưa sản phẩm vào vận hành thực tế.</t>
        </is>
      </c>
      <c r="F20" s="28" t="n"/>
      <c r="G20" s="28" t="n"/>
      <c r="H20" s="28" t="n"/>
      <c r="I20" s="28" t="n"/>
      <c r="J20" s="28" t="n"/>
    </row>
  </sheetData>
  <mergeCells count="10">
    <mergeCell ref="E16:J16"/>
    <mergeCell ref="B16:C16"/>
    <mergeCell ref="E19:J19"/>
    <mergeCell ref="B19:C19"/>
    <mergeCell ref="B20:C20"/>
    <mergeCell ref="E17:J17"/>
    <mergeCell ref="E18:J18"/>
    <mergeCell ref="B17:C17"/>
    <mergeCell ref="B18:C18"/>
    <mergeCell ref="E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2026-10-17T06:08:09Z</dcterms:created>
  <dcterms:modified xmlns:dcterms="http://purl.org/dc/terms/" xmlns:xsi="http://www.w3.org/2001/XMLSchema-instance" xsi:type="dcterms:W3CDTF">2026-10-17T06:08:10Z</dcterms:modified>
</cp:coreProperties>
</file>