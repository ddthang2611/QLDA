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UONG_DAN" sheetId="1" r:id="rId4"/>
    <sheet state="visible" name="Đơn giá" sheetId="2" r:id="rId5"/>
    <sheet state="visible" name="Theo WBS theo vai trò" sheetId="3" r:id="rId6"/>
    <sheet state="visible" name="Theo tháng" sheetId="4" r:id="rId7"/>
    <sheet state="visible" name="Tổng hợp" sheetId="5" r:id="rId8"/>
    <sheet state="visible" name="Phân lương chi tiết theo nhân s" sheetId="6" r:id="rId9"/>
  </sheets>
  <definedNames/>
  <calcPr/>
  <extLst>
    <ext uri="GoogleSheetsCustomDataVersion2">
      <go:sheetsCustomData xmlns:go="http://customooxmlschemas.google.com/" r:id="rId10" roundtripDataChecksum="yfQqz4im6vSEgYN2EWNciMku37DuGwhSOFEVg01GlG0="/>
    </ext>
  </extLst>
</workbook>
</file>

<file path=xl/sharedStrings.xml><?xml version="1.0" encoding="utf-8"?>
<sst xmlns="http://schemas.openxmlformats.org/spreadsheetml/2006/main" count="212" uniqueCount="172">
  <si>
    <t>Phân bổ ngày công theo vai trò và chi phí theo tháng</t>
  </si>
  <si>
    <t>Đơn giá ngày công theo vai trò và tham số</t>
  </si>
  <si>
    <t>Ngày công theo gói WBS cấp 2</t>
  </si>
  <si>
    <t>Dự toán chi phí nhân công – Website bán hàng trực tuyến ABC Wear (biểu mẫu)</t>
  </si>
  <si>
    <t>Mã WBS</t>
  </si>
  <si>
    <t>Tháng bắt đầu:06/2026</t>
  </si>
  <si>
    <t>Vai trò</t>
  </si>
  <si>
    <t>Gói công việc</t>
  </si>
  <si>
    <t>PM</t>
  </si>
  <si>
    <t>SA</t>
  </si>
  <si>
    <t>BA</t>
  </si>
  <si>
    <t>Đơn giá ngày công (VNĐ/giờ)</t>
  </si>
  <si>
    <t>UX</t>
  </si>
  <si>
    <t>Nguồn đơn giá</t>
  </si>
  <si>
    <t>DEV</t>
  </si>
  <si>
    <t>Ghi chú</t>
  </si>
  <si>
    <t>QA</t>
  </si>
  <si>
    <t>OPS</t>
  </si>
  <si>
    <t>Tổng ngày công</t>
  </si>
  <si>
    <t>Chi phí nhân công (VNĐ)</t>
  </si>
  <si>
    <t>Quản lý dự án</t>
  </si>
  <si>
    <t>1</t>
  </si>
  <si>
    <t>Biểu mẫu trống có công thức. File không chứa lương, thu nhập hay hệ số lương của bất kỳ cá nhân nào.</t>
  </si>
  <si>
    <t>Phạm vi biểu mẫu</t>
  </si>
  <si>
    <t>HSDT</t>
  </si>
  <si>
    <t>Chi phí nhân công Bên B tính theo VAI TRÒ = ngày công × đơn giá ngày công của vai trò. Không lập bảng lương theo từng người – theo nguyên tắc dự án mục 12.</t>
  </si>
  <si>
    <t>Kiến trúc hệ thống</t>
  </si>
  <si>
    <t>Phân tích nghiệp vụ</t>
  </si>
  <si>
    <t>Thiết kế giao diện</t>
  </si>
  <si>
    <t>Nhân sự (Vai trò)</t>
  </si>
  <si>
    <t>Lập trình</t>
  </si>
  <si>
    <t>Kiểm thử</t>
  </si>
  <si>
    <t>Hạ tầng và vận hành</t>
  </si>
  <si>
    <t>Ô nền vàng, chữ xanh</t>
  </si>
  <si>
    <t>Tổng công dự kiến (Giờ)</t>
  </si>
  <si>
    <t>Ô nhập: đơn giá, tham số %, ngày công theo gói, ngày công theo tháng, tháng bắt đầu.</t>
  </si>
  <si>
    <t>Chữ đen</t>
  </si>
  <si>
    <t>Công thức – không nhập đè. Chữ xanh lá: liên kết từ sheet khác.</t>
  </si>
  <si>
    <t>Chênh lệch so với WBS</t>
  </si>
  <si>
    <t>&lt;&lt;THIẾU&gt;&gt;</t>
  </si>
  <si>
    <t>Ô kết quả hiển thị &lt;&lt;THIẾU&gt;&gt; cho tới khi nhập đủ dữ liệu đầu vào.</t>
  </si>
  <si>
    <t>Tổng theo WBS</t>
  </si>
  <si>
    <t>Bước 1 – DON_GIA</t>
  </si>
  <si>
    <t>Nhập đơn giá ngày công cho 7 vai trò (đơn giá chào thầu hoặc định mức nội bộ của đơn vị) kèm nguồn; nhập các tham số %.</t>
  </si>
  <si>
    <t>Bước 2 – NGAY_CONG_WBS</t>
  </si>
  <si>
    <t>Nhập ngày công theo vai trò cho từng gói cấp 2. Số liệu lấy từ cột N–T của WBS_Nhom9_v3.xlsx sau khi có ước lượng (TD-W01).</t>
  </si>
  <si>
    <t>Bước 3 – THEO_THANG</t>
  </si>
  <si>
    <t>Phân bổ ngày công theo tháng theo lịch WBS v3; dòng kiểm tra báo LỆCH nếu tổng theo tháng khác tổng theo WBS.</t>
  </si>
  <si>
    <t>Bước 4 – TONG_HOP</t>
  </si>
  <si>
    <t>Xem chi phí theo vai trò, theo giai đoạn, chi phí chung, dự phòng, thuế và tổng dự toán.</t>
  </si>
  <si>
    <t>PM – Quản lý dự án</t>
  </si>
  <si>
    <t>Phạm vi chưa chốt</t>
  </si>
  <si>
    <t>Cột "Phạm vi chưa chốt" nêu các gói chờ MT-01, MT-02, MT-W01, MT-W02, MT-W05. Nên lập dự toán tách riêng phần RFP và phần bổ sung khi chào giá.</t>
  </si>
  <si>
    <t>Lưu ý</t>
  </si>
  <si>
    <t>Dự toán chỉ gồm chi phí nhân công Bên B. Hạ tầng, bản quyền, cổng thanh toán, đi lại… chưa có trong biểu mẫu (xem GIA_DINH).</t>
  </si>
  <si>
    <t>Làm OT thêm so với dự kiến</t>
  </si>
  <si>
    <t>1.1</t>
  </si>
  <si>
    <t>SA – Kiến trúc hệ thống</t>
  </si>
  <si>
    <t>-</t>
  </si>
  <si>
    <t xml:space="preserve">   Khởi động dự án</t>
  </si>
  <si>
    <t>BA – Phân tích nghiệp vụ</t>
  </si>
  <si>
    <t>UX – Thiết kế giao diện</t>
  </si>
  <si>
    <t>Khối lượng công việc quá tải, nhân sự phải OT và thực hiện công việc nhiều hơn thời gian dự kiến</t>
  </si>
  <si>
    <t>DEV – Lập trình (3)</t>
  </si>
  <si>
    <t>QA – Kiểm thử (2)</t>
  </si>
  <si>
    <t>OPS – Hạ tầng và vận hành</t>
  </si>
  <si>
    <t>1.2</t>
  </si>
  <si>
    <t xml:space="preserve">   Lập kế hoạch dự án</t>
  </si>
  <si>
    <t>Tổng hợp dự toán chi phí nhân công</t>
  </si>
  <si>
    <t>Ngày công (Giờ)</t>
  </si>
  <si>
    <t>Đơn giá (VNĐ/Giờ)</t>
  </si>
  <si>
    <t>Chi phí (VNĐ)</t>
  </si>
  <si>
    <t>Tỷ trọng</t>
  </si>
  <si>
    <t>1.3</t>
  </si>
  <si>
    <t xml:space="preserve">   Giám sát và kiểm soát</t>
  </si>
  <si>
    <t>1.4</t>
  </si>
  <si>
    <t xml:space="preserve">   Kết thúc dự án</t>
  </si>
  <si>
    <t>STT</t>
  </si>
  <si>
    <t>Kiểm tra: phân bổ theo tháng khớp WBS</t>
  </si>
  <si>
    <t>Vị trí</t>
  </si>
  <si>
    <t>Tên nhân viên</t>
  </si>
  <si>
    <t>2</t>
  </si>
  <si>
    <t>Phân tích hệ thống (System Analysis)</t>
  </si>
  <si>
    <t>Tổng lương (VND)</t>
  </si>
  <si>
    <t>Nguyễn Đức Tân</t>
  </si>
  <si>
    <t>DEV – Lập trình</t>
  </si>
  <si>
    <t>Nguyễn Hải Đăng</t>
  </si>
  <si>
    <t>QA – Kiểm thử</t>
  </si>
  <si>
    <t>Đinh Đức Thắng</t>
  </si>
  <si>
    <t>2.1</t>
  </si>
  <si>
    <t>Nguyễn Thị Thu Thủy</t>
  </si>
  <si>
    <t xml:space="preserve">   Khảo sát hiện trạng (AS-IS)</t>
  </si>
  <si>
    <t>Nguyễn Thị Phương</t>
  </si>
  <si>
    <t>Cộng chi phí nhân công</t>
  </si>
  <si>
    <t>2.2</t>
  </si>
  <si>
    <t xml:space="preserve">   Đặc tả yêu cầu chức năng (Specification – RFP tr.4)</t>
  </si>
  <si>
    <t>Vũ Tuấn A</t>
  </si>
  <si>
    <t>Nguyễn Ngọc B</t>
  </si>
  <si>
    <t>Chi phí chung và quản lý</t>
  </si>
  <si>
    <t>Nguyễn Hữu C</t>
  </si>
  <si>
    <t>2.3</t>
  </si>
  <si>
    <t xml:space="preserve">   Đặc tả yêu cầu phi chức năng (24 giờ/365 ngày, phản hồi trong 2 giây – RFP tr.2 ②)</t>
  </si>
  <si>
    <t>TỔNG DỰ TOÁN NHÂN SỰ TRƯỚC VAT</t>
  </si>
  <si>
    <t>Phạm Minh D</t>
  </si>
  <si>
    <t>Chi phí nhân công theo giai đoạn</t>
  </si>
  <si>
    <t>Giai đoạn</t>
  </si>
  <si>
    <t>Ngày công</t>
  </si>
  <si>
    <t>1. Quản lý dự án</t>
  </si>
  <si>
    <t>Trần Hùng E</t>
  </si>
  <si>
    <t>Tổng cộng</t>
  </si>
  <si>
    <t>2.4</t>
  </si>
  <si>
    <t xml:space="preserve">   Luồng nghiệp vụ (New Operational Flow – RFP tr.4)</t>
  </si>
  <si>
    <t>2. Phân tích hệ thống (System Analysis)</t>
  </si>
  <si>
    <t>3. Thiết kế hệ thống</t>
  </si>
  <si>
    <t>2.5</t>
  </si>
  <si>
    <t xml:space="preserve">   Trình phê duyệt SRS (M1)</t>
  </si>
  <si>
    <t>4. Xây dựng hệ thống (Construction)</t>
  </si>
  <si>
    <t>5. Kiểm thử (Testing)</t>
  </si>
  <si>
    <t>6. Triển khai và chuyển giao (Cut-over)</t>
  </si>
  <si>
    <t>3</t>
  </si>
  <si>
    <t>Thiết kế hệ thống</t>
  </si>
  <si>
    <t>3.1</t>
  </si>
  <si>
    <t xml:space="preserve">   Thiết kế kiến trúc (HLD)</t>
  </si>
  <si>
    <t>3.2</t>
  </si>
  <si>
    <t xml:space="preserve">   Thiết kế cơ sở dữ liệu (Database Structure – RFP tr.5)</t>
  </si>
  <si>
    <t>3.3</t>
  </si>
  <si>
    <t xml:space="preserve">   Thiết kế giao diện phía khách hàng</t>
  </si>
  <si>
    <t>3.4</t>
  </si>
  <si>
    <t xml:space="preserve">   Thiết kế tích hợp hệ thống</t>
  </si>
  <si>
    <t>3.5</t>
  </si>
  <si>
    <t xml:space="preserve">   Thiết kế chi tiết (LLD)</t>
  </si>
  <si>
    <t>3.6</t>
  </si>
  <si>
    <t xml:space="preserve">   Rà soát và phê duyệt thiết kế</t>
  </si>
  <si>
    <t>4</t>
  </si>
  <si>
    <t>Xây dựng hệ thống (Construction)</t>
  </si>
  <si>
    <t>4.1</t>
  </si>
  <si>
    <t xml:space="preserve">   Môi trường và khung ứng dụng</t>
  </si>
  <si>
    <t>4.2</t>
  </si>
  <si>
    <t xml:space="preserve">   Chức năng Quản lý khách hàng</t>
  </si>
  <si>
    <t>4.3</t>
  </si>
  <si>
    <t xml:space="preserve">   Chức năng Quản lý sản phẩm</t>
  </si>
  <si>
    <t>4.4</t>
  </si>
  <si>
    <t xml:space="preserve">   Chức năng Quản lý đơn hàng &amp; thanh toán</t>
  </si>
  <si>
    <t>4.5</t>
  </si>
  <si>
    <t xml:space="preserve">   Tích hợp hệ thống</t>
  </si>
  <si>
    <t>4.6</t>
  </si>
  <si>
    <t xml:space="preserve">   Kiểm soát chất lượng mã nguồn và phát hành</t>
  </si>
  <si>
    <t>5</t>
  </si>
  <si>
    <t>Kiểm thử (Testing)</t>
  </si>
  <si>
    <t>5.1</t>
  </si>
  <si>
    <t xml:space="preserve">   Chuẩn bị kiểm thử</t>
  </si>
  <si>
    <t>5.2</t>
  </si>
  <si>
    <t xml:space="preserve">   Kiểm thử tích hợp hệ thống (SIT)</t>
  </si>
  <si>
    <t>5.3</t>
  </si>
  <si>
    <t xml:space="preserve">   Kiểm thử hiệu năng</t>
  </si>
  <si>
    <t>5.4</t>
  </si>
  <si>
    <t xml:space="preserve">   Kiểm thử an toàn bảo mật</t>
  </si>
  <si>
    <t>5.5</t>
  </si>
  <si>
    <t xml:space="preserve">   Sửa lỗi và kiểm thử hồi quy</t>
  </si>
  <si>
    <t>5.6</t>
  </si>
  <si>
    <t xml:space="preserve">   Kiểm thử vận hành (UAT – RFP tr.2)</t>
  </si>
  <si>
    <t>6</t>
  </si>
  <si>
    <t>Triển khai và chuyển giao</t>
  </si>
  <si>
    <t>6.1</t>
  </si>
  <si>
    <t xml:space="preserve">   Tài liệu chuyển giao</t>
  </si>
  <si>
    <t>6.2</t>
  </si>
  <si>
    <t xml:space="preserve">   Đào tạo</t>
  </si>
  <si>
    <t>6.3</t>
  </si>
  <si>
    <t xml:space="preserve">   Go-live</t>
  </si>
  <si>
    <t>6.4</t>
  </si>
  <si>
    <t xml:space="preserve">   Hỗ trợ sau go-live</t>
  </si>
  <si>
    <t>TỔNG CỘNG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</si>
</sst>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;\-#,##0;\-"/>
    <numFmt numFmtId="165" formatCode="mm/yyyy"/>
    <numFmt numFmtId="166" formatCode="#,##0.0;\-#,##0.0;\-"/>
    <numFmt numFmtId="167" formatCode="m/yyyy"/>
    <numFmt numFmtId="168" formatCode="0.0%"/>
  </numFmts>
  <fonts count="16">
    <font>
      <sz val="11.0"/>
      <color theme="1"/>
      <name val="Calibri"/>
      <scheme val="minor"/>
    </font>
    <font>
      <b/>
      <sz val="14.0"/>
      <color rgb="FF1F3A5F"/>
      <name val="Arial"/>
    </font>
    <font>
      <i/>
      <sz val="10.0"/>
      <color rgb="FF6B7280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0000FF"/>
      <name val="Arial"/>
    </font>
    <font>
      <sz val="11.0"/>
      <color theme="1"/>
      <name val="Calibri"/>
    </font>
    <font>
      <sz val="10.0"/>
      <color rgb="FF6B7280"/>
      <name val="Arial"/>
    </font>
    <font>
      <b/>
      <sz val="10.0"/>
      <color rgb="FF0000FF"/>
      <name val="Arial"/>
    </font>
    <font>
      <sz val="10.0"/>
      <color rgb="FF008000"/>
      <name val="Arial"/>
    </font>
    <font>
      <color theme="1"/>
      <name val="Calibri"/>
      <scheme val="minor"/>
    </font>
    <font>
      <sz val="12.0"/>
      <color theme="1"/>
      <name val="Arial"/>
    </font>
    <font>
      <sz val="12.0"/>
      <color rgb="FF000000"/>
      <name val="Arial"/>
    </font>
    <font>
      <b/>
      <sz val="11.0"/>
      <color theme="1"/>
      <name val="Arial"/>
    </font>
    <font>
      <b/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D6E0EC"/>
        <bgColor rgb="FFD6E0EC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BFC5CC"/>
      </left>
      <right style="thin">
        <color rgb="FFBFC5CC"/>
      </right>
      <top style="thin">
        <color rgb="FFBFC5CC"/>
      </top>
      <bottom style="thin">
        <color rgb="FFBFC5CC"/>
      </bottom>
    </border>
    <border>
      <left/>
      <right/>
      <top/>
      <bottom/>
    </border>
    <border>
      <left style="thin">
        <color rgb="FFBFC5CC"/>
      </left>
      <right style="thin">
        <color rgb="FFBFC5CC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Border="1" applyFont="1"/>
    <xf borderId="1" fillId="3" fontId="5" numFmtId="0" xfId="0" applyAlignment="1" applyBorder="1" applyFill="1" applyFont="1">
      <alignment horizontal="left" vertical="top"/>
    </xf>
    <xf borderId="1" fillId="4" fontId="6" numFmtId="164" xfId="0" applyBorder="1" applyFill="1" applyFont="1" applyNumberFormat="1"/>
    <xf borderId="0" fillId="0" fontId="5" numFmtId="0" xfId="0" applyAlignment="1" applyFont="1">
      <alignment readingOrder="0"/>
    </xf>
    <xf borderId="1" fillId="4" fontId="6" numFmtId="0" xfId="0" applyBorder="1" applyFill="1" applyFont="1"/>
    <xf borderId="1" fillId="4" fontId="6" numFmtId="165" xfId="0" applyBorder="1" applyFill="1" applyFont="1" applyNumberFormat="1"/>
    <xf borderId="1" fillId="3" fontId="5" numFmtId="0" xfId="0" applyAlignment="1" applyBorder="1" applyFill="1" applyFont="1">
      <alignment shrinkToFit="0" vertical="top" wrapText="1"/>
    </xf>
    <xf borderId="0" fillId="0" fontId="5" numFmtId="0" xfId="0" applyFont="1"/>
    <xf borderId="1" fillId="0" fontId="7" numFmtId="0" xfId="0" applyBorder="1" applyFont="1"/>
    <xf borderId="0" fillId="0" fontId="8" numFmtId="0" xfId="0" applyFont="1"/>
    <xf borderId="0" fillId="0" fontId="4" numFmtId="0" xfId="0" applyAlignment="1" applyFont="1">
      <alignment shrinkToFit="0" vertical="top" wrapText="1"/>
    </xf>
    <xf borderId="1" fillId="2" fontId="3" numFmtId="165" xfId="0" applyAlignment="1" applyBorder="1" applyFill="1" applyFont="1" applyNumberFormat="1">
      <alignment horizontal="center" shrinkToFit="0" vertical="center" wrapText="1"/>
    </xf>
    <xf borderId="1" fillId="3" fontId="5" numFmtId="166" xfId="0" applyAlignment="1" applyBorder="1" applyFill="1" applyFont="1" applyNumberFormat="1">
      <alignment horizontal="right" vertical="top"/>
    </xf>
    <xf borderId="1" fillId="2" fontId="3" numFmtId="167" xfId="0" applyAlignment="1" applyBorder="1" applyFill="1" applyFont="1" applyNumberFormat="1">
      <alignment horizontal="center" readingOrder="0" shrinkToFit="0" vertical="center" wrapText="1"/>
    </xf>
    <xf borderId="2" fillId="4" fontId="9" numFmtId="0" xfId="0" applyBorder="1" applyFill="1" applyFont="1"/>
    <xf borderId="1" fillId="2" fontId="3" numFmtId="0" xfId="0" applyAlignment="1" applyBorder="1" applyFill="1" applyFont="1">
      <alignment horizontal="center" readingOrder="0" shrinkToFit="0" vertical="center" wrapText="1"/>
    </xf>
    <xf borderId="3" fillId="2" fontId="3" numFmtId="0" xfId="0" applyAlignment="1" applyBorder="1" applyFill="1" applyFont="1">
      <alignment horizontal="center" shrinkToFit="0" vertical="center" wrapText="1"/>
    </xf>
    <xf borderId="1" fillId="4" fontId="6" numFmtId="166" xfId="0" applyAlignment="1" applyBorder="1" applyFill="1" applyFont="1" applyNumberFormat="1">
      <alignment readingOrder="0"/>
    </xf>
    <xf borderId="1" fillId="0" fontId="7" numFmtId="166" xfId="0" applyAlignment="1" applyBorder="1" applyFont="1" applyNumberFormat="1">
      <alignment readingOrder="0"/>
    </xf>
    <xf borderId="1" fillId="0" fontId="7" numFmtId="166" xfId="0" applyBorder="1" applyFont="1" applyNumberFormat="1"/>
    <xf borderId="1" fillId="0" fontId="10" numFmtId="166" xfId="0" applyBorder="1" applyFont="1" applyNumberFormat="1"/>
    <xf borderId="1" fillId="3" fontId="5" numFmtId="164" xfId="0" applyAlignment="1" applyBorder="1" applyFill="1" applyFont="1" applyNumberFormat="1">
      <alignment horizontal="right" vertical="top"/>
    </xf>
    <xf borderId="0" fillId="0" fontId="7" numFmtId="0" xfId="0" applyAlignment="1" applyFont="1">
      <alignment readingOrder="0" shrinkToFit="0" wrapText="1"/>
    </xf>
    <xf borderId="1" fillId="0" fontId="4" numFmtId="0" xfId="0" applyAlignment="1" applyBorder="1" applyFont="1">
      <alignment horizontal="left" vertical="top"/>
    </xf>
    <xf borderId="1" fillId="0" fontId="4" numFmtId="0" xfId="0" applyAlignment="1" applyBorder="1" applyFont="1">
      <alignment shrinkToFit="0" vertical="top" wrapText="1"/>
    </xf>
    <xf borderId="1" fillId="4" fontId="6" numFmtId="166" xfId="0" applyAlignment="1" applyBorder="1" applyFill="1" applyFont="1" applyNumberFormat="1">
      <alignment horizontal="right" readingOrder="0" vertical="top"/>
    </xf>
    <xf borderId="1" fillId="0" fontId="4" numFmtId="166" xfId="0" applyAlignment="1" applyBorder="1" applyFont="1" applyNumberFormat="1">
      <alignment horizontal="right" vertical="top"/>
    </xf>
    <xf borderId="0" fillId="0" fontId="11" numFmtId="0" xfId="0" applyAlignment="1" applyFont="1">
      <alignment readingOrder="0" shrinkToFit="0" wrapText="1"/>
    </xf>
    <xf borderId="1" fillId="0" fontId="4" numFmtId="0" xfId="0" applyAlignment="1" applyBorder="1" applyFont="1">
      <alignment readingOrder="0"/>
    </xf>
    <xf borderId="1" fillId="0" fontId="4" numFmtId="164" xfId="0" applyAlignment="1" applyBorder="1" applyFont="1" applyNumberFormat="1">
      <alignment horizontal="right" vertical="top"/>
    </xf>
    <xf borderId="1" fillId="4" fontId="6" numFmtId="166" xfId="0" applyAlignment="1" applyBorder="1" applyFill="1" applyFont="1" applyNumberFormat="1">
      <alignment horizontal="right" vertical="top"/>
    </xf>
    <xf borderId="1" fillId="3" fontId="5" numFmtId="0" xfId="0" applyBorder="1" applyFill="1" applyFont="1"/>
    <xf borderId="1" fillId="3" fontId="7" numFmtId="166" xfId="0" applyBorder="1" applyFill="1" applyFont="1" applyNumberFormat="1"/>
    <xf borderId="0" fillId="0" fontId="7" numFmtId="166" xfId="0" applyFont="1" applyNumberFormat="1"/>
    <xf borderId="1" fillId="0" fontId="10" numFmtId="164" xfId="0" applyBorder="1" applyFont="1" applyNumberFormat="1"/>
    <xf borderId="1" fillId="3" fontId="7" numFmtId="164" xfId="0" applyBorder="1" applyFill="1" applyFont="1" applyNumberFormat="1"/>
    <xf borderId="1" fillId="0" fontId="7" numFmtId="164" xfId="0" applyBorder="1" applyFont="1" applyNumberFormat="1"/>
    <xf borderId="1" fillId="0" fontId="7" numFmtId="168" xfId="0" applyBorder="1" applyFont="1" applyNumberFormat="1"/>
    <xf borderId="0" fillId="0" fontId="12" numFmtId="0" xfId="0" applyAlignment="1" applyFont="1">
      <alignment horizontal="center" readingOrder="0" shrinkToFit="0" vertical="center" wrapText="0"/>
    </xf>
    <xf borderId="4" fillId="0" fontId="13" numFmtId="0" xfId="0" applyAlignment="1" applyBorder="1" applyFont="1">
      <alignment readingOrder="0" shrinkToFit="0" vertical="bottom" wrapText="0"/>
    </xf>
    <xf borderId="0" fillId="0" fontId="13" numFmtId="0" xfId="0" applyAlignment="1" applyFont="1">
      <alignment horizontal="left" shrinkToFit="0" vertical="bottom" wrapText="0"/>
    </xf>
    <xf borderId="0" fillId="0" fontId="13" numFmtId="0" xfId="0" applyAlignment="1" applyFont="1">
      <alignment horizontal="left" readingOrder="0" shrinkToFit="0" vertical="bottom" wrapText="0"/>
    </xf>
    <xf borderId="5" fillId="0" fontId="13" numFmtId="164" xfId="0" applyAlignment="1" applyBorder="1" applyFont="1" applyNumberFormat="1">
      <alignment horizontal="right" shrinkToFit="0" vertical="bottom" wrapText="0"/>
    </xf>
    <xf borderId="0" fillId="0" fontId="11" numFmtId="0" xfId="0" applyFont="1"/>
    <xf borderId="5" fillId="0" fontId="13" numFmtId="164" xfId="0" applyAlignment="1" applyBorder="1" applyFont="1" applyNumberFormat="1">
      <alignment horizontal="right" readingOrder="0" shrinkToFit="0" vertical="bottom" wrapText="0"/>
    </xf>
    <xf borderId="1" fillId="0" fontId="4" numFmtId="0" xfId="0" applyAlignment="1" applyBorder="1" applyFont="1">
      <alignment readingOrder="0" shrinkToFit="0" vertical="top" wrapText="1"/>
    </xf>
    <xf borderId="1" fillId="3" fontId="7" numFmtId="0" xfId="0" applyBorder="1" applyFill="1" applyFont="1"/>
    <xf borderId="1" fillId="3" fontId="4" numFmtId="0" xfId="0" applyBorder="1" applyFill="1" applyFont="1"/>
    <xf borderId="1" fillId="3" fontId="7" numFmtId="164" xfId="0" applyAlignment="1" applyBorder="1" applyFill="1" applyFont="1" applyNumberFormat="1">
      <alignment readingOrder="0"/>
    </xf>
    <xf borderId="1" fillId="3" fontId="5" numFmtId="0" xfId="0" applyAlignment="1" applyBorder="1" applyFill="1" applyFont="1">
      <alignment readingOrder="0"/>
    </xf>
    <xf borderId="1" fillId="3" fontId="5" numFmtId="164" xfId="0" applyBorder="1" applyFill="1" applyFont="1" applyNumberFormat="1"/>
    <xf borderId="0" fillId="0" fontId="14" numFmtId="0" xfId="0" applyAlignment="1" applyFont="1">
      <alignment readingOrder="0"/>
    </xf>
    <xf borderId="1" fillId="0" fontId="10" numFmtId="166" xfId="0" applyAlignment="1" applyBorder="1" applyFont="1" applyNumberFormat="1">
      <alignment shrinkToFit="0" vertical="top" wrapText="1"/>
    </xf>
    <xf borderId="6" fillId="0" fontId="13" numFmtId="0" xfId="0" applyAlignment="1" applyBorder="1" applyFont="1">
      <alignment shrinkToFit="0" vertical="bottom" wrapText="0"/>
    </xf>
    <xf borderId="1" fillId="0" fontId="10" numFmtId="164" xfId="0" applyAlignment="1" applyBorder="1" applyFont="1" applyNumberFormat="1">
      <alignment shrinkToFit="0" vertical="top" wrapText="1"/>
    </xf>
    <xf borderId="7" fillId="0" fontId="15" numFmtId="0" xfId="0" applyAlignment="1" applyBorder="1" applyFont="1">
      <alignment horizontal="left" readingOrder="0" shrinkToFit="0" vertical="bottom" wrapText="0"/>
    </xf>
    <xf borderId="7" fillId="0" fontId="15" numFmtId="0" xfId="0" applyAlignment="1" applyBorder="1" applyFont="1">
      <alignment shrinkToFit="0" vertical="bottom" wrapText="0"/>
    </xf>
    <xf borderId="1" fillId="0" fontId="4" numFmtId="168" xfId="0" applyAlignment="1" applyBorder="1" applyFont="1" applyNumberFormat="1">
      <alignment shrinkToFit="0" vertical="top" wrapText="1"/>
    </xf>
    <xf borderId="8" fillId="0" fontId="15" numFmtId="164" xfId="0" applyAlignment="1" applyBorder="1" applyFont="1" applyNumberFormat="1">
      <alignment horizontal="right" readingOrder="0" shrinkToFit="0" vertical="bottom" wrapText="0"/>
    </xf>
    <xf borderId="1" fillId="3" fontId="5" numFmtId="166" xfId="0" applyBorder="1" applyFill="1" applyFont="1" applyNumberForma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C00000"/>
      </font>
      <fill>
        <patternFill patternType="none"/>
      </fill>
      <border/>
    </dxf>
    <dxf>
      <font>
        <color rgb="FFC00000"/>
      </font>
      <fill>
        <patternFill patternType="none"/>
      </fill>
      <border/>
    </dxf>
  </dxfs>
  <tableStyles count="1">
    <tableStyle count="4" pivot="0" name="Phân lương chi tiết theo nhân 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2" displayName="Bảng_1" name="Bảng_1" id="1">
  <tableColumns count="4">
    <tableColumn name="STT" id="1"/>
    <tableColumn name="Vị trí" id="2"/>
    <tableColumn name="Tên nhân viên" id="3"/>
    <tableColumn name="Tổng lương (VND)" id="4"/>
  </tableColumns>
  <tableStyleInfo name="Phân lương chi tiết theo nhân 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20.0"/>
    <col customWidth="1" min="3" max="26" width="8.57"/>
  </cols>
  <sheetData>
    <row r="1" ht="14.25" customHeight="1">
      <c r="A1" s="2" t="s">
        <v>3</v>
      </c>
    </row>
    <row r="2" ht="14.25" customHeight="1">
      <c r="A2" s="3" t="s">
        <v>22</v>
      </c>
    </row>
    <row r="3" ht="14.25" customHeight="1"/>
    <row r="4" ht="14.25" customHeight="1">
      <c r="A4" s="12" t="s">
        <v>23</v>
      </c>
      <c r="B4" s="15" t="s">
        <v>25</v>
      </c>
    </row>
    <row r="5" ht="14.25" customHeight="1">
      <c r="A5" s="19" t="s">
        <v>33</v>
      </c>
      <c r="B5" s="15" t="s">
        <v>35</v>
      </c>
    </row>
    <row r="6" ht="14.25" customHeight="1">
      <c r="A6" s="12" t="s">
        <v>36</v>
      </c>
      <c r="B6" s="15" t="s">
        <v>37</v>
      </c>
    </row>
    <row r="7" ht="14.25" customHeight="1">
      <c r="A7" s="12" t="s">
        <v>39</v>
      </c>
      <c r="B7" s="15" t="s">
        <v>40</v>
      </c>
    </row>
    <row r="8" ht="14.25" customHeight="1">
      <c r="A8" s="12" t="s">
        <v>42</v>
      </c>
      <c r="B8" s="15" t="s">
        <v>43</v>
      </c>
    </row>
    <row r="9" ht="14.25" customHeight="1">
      <c r="A9" s="12" t="s">
        <v>44</v>
      </c>
      <c r="B9" s="15" t="s">
        <v>45</v>
      </c>
    </row>
    <row r="10" ht="14.25" customHeight="1">
      <c r="A10" s="12" t="s">
        <v>46</v>
      </c>
      <c r="B10" s="15" t="s">
        <v>47</v>
      </c>
    </row>
    <row r="11" ht="14.25" customHeight="1">
      <c r="A11" s="12" t="s">
        <v>48</v>
      </c>
      <c r="B11" s="15" t="s">
        <v>49</v>
      </c>
    </row>
    <row r="12" ht="14.25" customHeight="1">
      <c r="A12" s="12" t="s">
        <v>51</v>
      </c>
      <c r="B12" s="15" t="s">
        <v>52</v>
      </c>
    </row>
    <row r="13" ht="14.25" customHeight="1">
      <c r="A13" s="12" t="s">
        <v>53</v>
      </c>
      <c r="B13" s="15" t="s">
        <v>54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6.0"/>
    <col customWidth="1" min="3" max="4" width="40.0"/>
    <col customWidth="1" min="5" max="25" width="8.57"/>
  </cols>
  <sheetData>
    <row r="1" ht="14.25" customHeight="1">
      <c r="A1" s="2" t="s">
        <v>1</v>
      </c>
    </row>
    <row r="2" ht="14.25" customHeight="1"/>
    <row r="3" ht="14.25" customHeight="1">
      <c r="A3" s="4" t="s">
        <v>6</v>
      </c>
      <c r="B3" s="4" t="s">
        <v>11</v>
      </c>
      <c r="C3" s="4" t="s">
        <v>13</v>
      </c>
      <c r="D3" s="4" t="s">
        <v>15</v>
      </c>
    </row>
    <row r="4" ht="14.25" customHeight="1">
      <c r="A4" s="5" t="s">
        <v>20</v>
      </c>
      <c r="B4" s="7">
        <v>300000.0</v>
      </c>
      <c r="C4" s="9" t="s">
        <v>24</v>
      </c>
      <c r="D4" s="13"/>
    </row>
    <row r="5" ht="14.25" customHeight="1">
      <c r="A5" s="5" t="s">
        <v>26</v>
      </c>
      <c r="B5" s="7">
        <v>280000.0</v>
      </c>
      <c r="C5" s="9" t="s">
        <v>24</v>
      </c>
      <c r="D5" s="13"/>
    </row>
    <row r="6" ht="14.25" customHeight="1">
      <c r="A6" s="5" t="s">
        <v>27</v>
      </c>
      <c r="B6" s="7">
        <v>250000.0</v>
      </c>
      <c r="C6" s="9" t="s">
        <v>24</v>
      </c>
      <c r="D6" s="13"/>
    </row>
    <row r="7" ht="14.25" customHeight="1">
      <c r="A7" s="5" t="s">
        <v>28</v>
      </c>
      <c r="B7" s="7">
        <v>220000.0</v>
      </c>
      <c r="C7" s="9" t="s">
        <v>24</v>
      </c>
      <c r="D7" s="13"/>
    </row>
    <row r="8" ht="14.25" customHeight="1">
      <c r="A8" s="5" t="s">
        <v>30</v>
      </c>
      <c r="B8" s="7">
        <v>200000.0</v>
      </c>
      <c r="C8" s="9" t="s">
        <v>24</v>
      </c>
      <c r="D8" s="13"/>
    </row>
    <row r="9" ht="14.25" customHeight="1">
      <c r="A9" s="5" t="s">
        <v>31</v>
      </c>
      <c r="B9" s="7">
        <v>180000.0</v>
      </c>
      <c r="C9" s="9" t="s">
        <v>24</v>
      </c>
      <c r="D9" s="13"/>
    </row>
    <row r="10" ht="14.25" customHeight="1">
      <c r="A10" s="5" t="s">
        <v>32</v>
      </c>
      <c r="B10" s="7">
        <v>180000.0</v>
      </c>
      <c r="C10" s="9" t="s">
        <v>24</v>
      </c>
      <c r="D10" s="13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8.0"/>
    <col customWidth="1" min="2" max="2" width="58.0"/>
    <col customWidth="1" min="3" max="9" width="8.0"/>
    <col customWidth="1" min="10" max="10" width="12.0"/>
    <col customWidth="1" min="11" max="11" width="20.0"/>
    <col customWidth="1" min="12" max="12" width="30.0"/>
    <col customWidth="1" min="13" max="26" width="8.57"/>
  </cols>
  <sheetData>
    <row r="1" ht="14.25" customHeight="1">
      <c r="A1" s="2" t="s">
        <v>2</v>
      </c>
    </row>
    <row r="2" ht="14.25" customHeight="1"/>
    <row r="3" ht="14.25" customHeight="1">
      <c r="A3" s="4" t="s">
        <v>4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12</v>
      </c>
      <c r="G3" s="4" t="s">
        <v>14</v>
      </c>
      <c r="H3" s="4" t="s">
        <v>16</v>
      </c>
      <c r="I3" s="4" t="s">
        <v>17</v>
      </c>
      <c r="J3" s="4" t="s">
        <v>18</v>
      </c>
      <c r="K3" s="4" t="s">
        <v>19</v>
      </c>
      <c r="L3" s="4" t="s">
        <v>15</v>
      </c>
    </row>
    <row r="4" ht="14.25" customHeight="1">
      <c r="A4" s="6" t="s">
        <v>21</v>
      </c>
      <c r="B4" s="11" t="s">
        <v>20</v>
      </c>
      <c r="C4" s="17">
        <f t="shared" ref="C4:I4" si="1">SUM(C5,C6,C7,C8)</f>
        <v>208</v>
      </c>
      <c r="D4" s="17">
        <f t="shared" si="1"/>
        <v>12</v>
      </c>
      <c r="E4" s="17">
        <f t="shared" si="1"/>
        <v>24</v>
      </c>
      <c r="F4" s="17">
        <f t="shared" si="1"/>
        <v>12</v>
      </c>
      <c r="G4" s="17">
        <f t="shared" si="1"/>
        <v>12</v>
      </c>
      <c r="H4" s="17">
        <f t="shared" si="1"/>
        <v>12</v>
      </c>
      <c r="I4" s="17">
        <f t="shared" si="1"/>
        <v>2</v>
      </c>
      <c r="J4" s="17">
        <f t="shared" ref="J4:J40" si="2">IF(COUNT(C4:I4)=0,"&lt;&lt;THIẾU&gt;&gt;",SUM(C4:I4))</f>
        <v>282</v>
      </c>
      <c r="K4" s="26">
        <f>IF(COUNT(C4:I4)=0,"&lt;&lt;THIẾU&gt;&gt;",IF(COUNT('Đơn giá'!$B$4:$B$10)&lt;7,"&lt;&lt;THIẾU: đơn giá&gt;&gt;",N(C4)*'Đơn giá'!$B$4+N(D4)*'Đơn giá'!$B$5+N(E4)*'Đơn giá'!$B$6+N(F4)*'Đơn giá'!$B$7+N(G4)*'Đơn giá'!$B$8+N(H4)*'Đơn giá'!$B$9+N(I4)*'Đơn giá'!$B$10))</f>
        <v>79320000</v>
      </c>
      <c r="L4" s="11"/>
    </row>
    <row r="5" ht="14.25" customHeight="1">
      <c r="A5" s="28" t="s">
        <v>56</v>
      </c>
      <c r="B5" s="29" t="s">
        <v>59</v>
      </c>
      <c r="C5" s="30">
        <v>12.0</v>
      </c>
      <c r="D5" s="30">
        <v>4.0</v>
      </c>
      <c r="E5" s="30">
        <v>4.0</v>
      </c>
      <c r="F5" s="30">
        <v>4.0</v>
      </c>
      <c r="G5" s="30">
        <v>4.0</v>
      </c>
      <c r="H5" s="30">
        <v>4.0</v>
      </c>
      <c r="I5" s="30">
        <v>2.0</v>
      </c>
      <c r="J5" s="31">
        <f t="shared" si="2"/>
        <v>34</v>
      </c>
      <c r="K5" s="34">
        <f>IF(COUNT(C5:I5)=0,"&lt;&lt;THIẾU&gt;&gt;",IF(COUNT('Đơn giá'!$B$4:$B$10)&lt;7,"&lt;&lt;THIẾU: đơn giá&gt;&gt;",N(C5)*'Đơn giá'!$B$4+N(D5)*'Đơn giá'!$B$5+N(E5)*'Đơn giá'!$B$6+N(F5)*'Đơn giá'!$B$7+N(G5)*'Đơn giá'!$B$8+N(H5)*'Đơn giá'!$B$9+N(I5)*'Đơn giá'!$B$10))</f>
        <v>8480000</v>
      </c>
      <c r="L5" s="29"/>
    </row>
    <row r="6" ht="14.25" customHeight="1">
      <c r="A6" s="28" t="s">
        <v>66</v>
      </c>
      <c r="B6" s="29" t="s">
        <v>67</v>
      </c>
      <c r="C6" s="35">
        <v>16.0</v>
      </c>
      <c r="D6" s="30">
        <v>8.0</v>
      </c>
      <c r="E6" s="30">
        <v>8.0</v>
      </c>
      <c r="F6" s="30">
        <v>8.0</v>
      </c>
      <c r="G6" s="30">
        <v>8.0</v>
      </c>
      <c r="H6" s="30">
        <v>8.0</v>
      </c>
      <c r="I6" s="30"/>
      <c r="J6" s="31">
        <f t="shared" si="2"/>
        <v>56</v>
      </c>
      <c r="K6" s="34">
        <f>IF(COUNT(C6:I6)=0,"&lt;&lt;THIẾU&gt;&gt;",IF(COUNT('Đơn giá'!$B$4:$B$10)&lt;7,"&lt;&lt;THIẾU: đơn giá&gt;&gt;",N(C6)*'Đơn giá'!$B$4+N(D6)*'Đơn giá'!$B$5+N(E6)*'Đơn giá'!$B$6+N(F6)*'Đơn giá'!$B$7+N(G6)*'Đơn giá'!$B$8+N(H6)*'Đơn giá'!$B$9+N(I6)*'Đơn giá'!$B$10))</f>
        <v>13840000</v>
      </c>
      <c r="L6" s="29"/>
    </row>
    <row r="7" ht="14.25" customHeight="1">
      <c r="A7" s="28" t="s">
        <v>73</v>
      </c>
      <c r="B7" s="29" t="s">
        <v>74</v>
      </c>
      <c r="C7" s="30">
        <v>140.0</v>
      </c>
      <c r="D7" s="35"/>
      <c r="E7" s="30">
        <v>12.0</v>
      </c>
      <c r="F7" s="35"/>
      <c r="G7" s="35"/>
      <c r="H7" s="35"/>
      <c r="I7" s="35"/>
      <c r="J7" s="31">
        <f t="shared" si="2"/>
        <v>152</v>
      </c>
      <c r="K7" s="34">
        <f>IF(COUNT(C7:I7)=0,"&lt;&lt;THIẾU&gt;&gt;",IF(COUNT('Đơn giá'!$B$4:$B$10)&lt;7,"&lt;&lt;THIẾU: đơn giá&gt;&gt;",N(C7)*'Đơn giá'!$B$4+N(D7)*'Đơn giá'!$B$5+N(E7)*'Đơn giá'!$B$6+N(F7)*'Đơn giá'!$B$7+N(G7)*'Đơn giá'!$B$8+N(H7)*'Đơn giá'!$B$9+N(I7)*'Đơn giá'!$B$10))</f>
        <v>45000000</v>
      </c>
      <c r="L7" s="29"/>
    </row>
    <row r="8" ht="14.25" customHeight="1">
      <c r="A8" s="28" t="s">
        <v>75</v>
      </c>
      <c r="B8" s="29" t="s">
        <v>76</v>
      </c>
      <c r="C8" s="35">
        <v>40.0</v>
      </c>
      <c r="D8" s="35"/>
      <c r="E8" s="35"/>
      <c r="F8" s="35"/>
      <c r="G8" s="35"/>
      <c r="H8" s="35"/>
      <c r="I8" s="35"/>
      <c r="J8" s="31">
        <f t="shared" si="2"/>
        <v>40</v>
      </c>
      <c r="K8" s="34">
        <f>IF(COUNT(C8:I8)=0,"&lt;&lt;THIẾU&gt;&gt;",IF(COUNT('Đơn giá'!$B$4:$B$10)&lt;7,"&lt;&lt;THIẾU: đơn giá&gt;&gt;",N(C8)*'Đơn giá'!$B$4+N(D8)*'Đơn giá'!$B$5+N(E8)*'Đơn giá'!$B$6+N(F8)*'Đơn giá'!$B$7+N(G8)*'Đơn giá'!$B$8+N(H8)*'Đơn giá'!$B$9+N(I8)*'Đơn giá'!$B$10))</f>
        <v>12000000</v>
      </c>
      <c r="L8" s="29"/>
    </row>
    <row r="9" ht="14.25" customHeight="1">
      <c r="A9" s="6" t="s">
        <v>81</v>
      </c>
      <c r="B9" s="11" t="s">
        <v>82</v>
      </c>
      <c r="C9" s="17">
        <f t="shared" ref="C9:I9" si="3">SUM(C10,C11,C12,C13,C14)</f>
        <v>16</v>
      </c>
      <c r="D9" s="17">
        <f t="shared" si="3"/>
        <v>16</v>
      </c>
      <c r="E9" s="17">
        <f t="shared" si="3"/>
        <v>220</v>
      </c>
      <c r="F9" s="17">
        <f t="shared" si="3"/>
        <v>40</v>
      </c>
      <c r="G9" s="17">
        <f t="shared" si="3"/>
        <v>0</v>
      </c>
      <c r="H9" s="17">
        <f t="shared" si="3"/>
        <v>0</v>
      </c>
      <c r="I9" s="17">
        <f t="shared" si="3"/>
        <v>0</v>
      </c>
      <c r="J9" s="17">
        <f t="shared" si="2"/>
        <v>292</v>
      </c>
      <c r="K9" s="26">
        <f>IF(COUNT(C9:I9)=0,"&lt;&lt;THIẾU&gt;&gt;",IF(COUNT('Đơn giá'!$B$4:$B$10)&lt;7,"&lt;&lt;THIẾU: đơn giá&gt;&gt;",N(C9)*'Đơn giá'!$B$4+N(D9)*'Đơn giá'!$B$5+N(E9)*'Đơn giá'!$B$6+N(F9)*'Đơn giá'!$B$7+N(G9)*'Đơn giá'!$B$8+N(H9)*'Đơn giá'!$B$9+N(I9)*'Đơn giá'!$B$10))</f>
        <v>73080000</v>
      </c>
      <c r="L9" s="11"/>
    </row>
    <row r="10" ht="14.25" customHeight="1">
      <c r="A10" s="28" t="s">
        <v>89</v>
      </c>
      <c r="B10" s="29" t="s">
        <v>91</v>
      </c>
      <c r="C10" s="35"/>
      <c r="D10" s="35"/>
      <c r="E10" s="30">
        <v>60.0</v>
      </c>
      <c r="F10" s="35">
        <v>8.0</v>
      </c>
      <c r="G10" s="35"/>
      <c r="H10" s="35"/>
      <c r="I10" s="35"/>
      <c r="J10" s="31">
        <f t="shared" si="2"/>
        <v>68</v>
      </c>
      <c r="K10" s="34">
        <f>IF(COUNT(C10:I10)=0,"&lt;&lt;THIẾU&gt;&gt;",IF(COUNT('Đơn giá'!$B$4:$B$10)&lt;7,"&lt;&lt;THIẾU: đơn giá&gt;&gt;",N(C10)*'Đơn giá'!$B$4+N(D10)*'Đơn giá'!$B$5+N(E10)*'Đơn giá'!$B$6+N(F10)*'Đơn giá'!$B$7+N(G10)*'Đơn giá'!$B$8+N(H10)*'Đơn giá'!$B$9+N(I10)*'Đơn giá'!$B$10))</f>
        <v>16760000</v>
      </c>
      <c r="L10" s="29"/>
    </row>
    <row r="11" ht="14.25" customHeight="1">
      <c r="A11" s="28" t="s">
        <v>94</v>
      </c>
      <c r="B11" s="50" t="s">
        <v>95</v>
      </c>
      <c r="C11" s="35"/>
      <c r="D11" s="35"/>
      <c r="E11" s="35">
        <v>80.0</v>
      </c>
      <c r="F11" s="35">
        <v>16.0</v>
      </c>
      <c r="G11" s="35"/>
      <c r="H11" s="35"/>
      <c r="I11" s="35"/>
      <c r="J11" s="31">
        <f t="shared" si="2"/>
        <v>96</v>
      </c>
      <c r="K11" s="34">
        <f>IF(COUNT(C11:I11)=0,"&lt;&lt;THIẾU&gt;&gt;",IF(COUNT('Đơn giá'!$B$4:$B$10)&lt;7,"&lt;&lt;THIẾU: đơn giá&gt;&gt;",N(C11)*'Đơn giá'!$B$4+N(D11)*'Đơn giá'!$B$5+N(E11)*'Đơn giá'!$B$6+N(F11)*'Đơn giá'!$B$7+N(G11)*'Đơn giá'!$B$8+N(H11)*'Đơn giá'!$B$9+N(I11)*'Đơn giá'!$B$10))</f>
        <v>23520000</v>
      </c>
      <c r="L11" s="29"/>
    </row>
    <row r="12" ht="14.25" customHeight="1">
      <c r="A12" s="28" t="s">
        <v>100</v>
      </c>
      <c r="B12" s="29" t="s">
        <v>101</v>
      </c>
      <c r="C12" s="35"/>
      <c r="D12" s="35">
        <v>16.0</v>
      </c>
      <c r="E12" s="35">
        <v>24.0</v>
      </c>
      <c r="F12" s="35"/>
      <c r="G12" s="35"/>
      <c r="H12" s="35"/>
      <c r="I12" s="35"/>
      <c r="J12" s="31">
        <f t="shared" si="2"/>
        <v>40</v>
      </c>
      <c r="K12" s="34">
        <f>IF(COUNT(C12:I12)=0,"&lt;&lt;THIẾU&gt;&gt;",IF(COUNT('Đơn giá'!$B$4:$B$10)&lt;7,"&lt;&lt;THIẾU: đơn giá&gt;&gt;",N(C12)*'Đơn giá'!$B$4+N(D12)*'Đơn giá'!$B$5+N(E12)*'Đơn giá'!$B$6+N(F12)*'Đơn giá'!$B$7+N(G12)*'Đơn giá'!$B$8+N(H12)*'Đơn giá'!$B$9+N(I12)*'Đơn giá'!$B$10))</f>
        <v>10480000</v>
      </c>
      <c r="L12" s="29"/>
    </row>
    <row r="13" ht="14.25" customHeight="1">
      <c r="A13" s="28" t="s">
        <v>110</v>
      </c>
      <c r="B13" s="50" t="s">
        <v>111</v>
      </c>
      <c r="C13" s="35"/>
      <c r="D13" s="35"/>
      <c r="E13" s="35">
        <v>48.0</v>
      </c>
      <c r="F13" s="35">
        <v>16.0</v>
      </c>
      <c r="G13" s="35"/>
      <c r="H13" s="35"/>
      <c r="I13" s="35"/>
      <c r="J13" s="31">
        <f t="shared" si="2"/>
        <v>64</v>
      </c>
      <c r="K13" s="34">
        <f>IF(COUNT(C13:I13)=0,"&lt;&lt;THIẾU&gt;&gt;",IF(COUNT('Đơn giá'!$B$4:$B$10)&lt;7,"&lt;&lt;THIẾU: đơn giá&gt;&gt;",N(C13)*'Đơn giá'!$B$4+N(D13)*'Đơn giá'!$B$5+N(E13)*'Đơn giá'!$B$6+N(F13)*'Đơn giá'!$B$7+N(G13)*'Đơn giá'!$B$8+N(H13)*'Đơn giá'!$B$9+N(I13)*'Đơn giá'!$B$10))</f>
        <v>15520000</v>
      </c>
      <c r="L13" s="29"/>
    </row>
    <row r="14" ht="14.25" customHeight="1">
      <c r="A14" s="28" t="s">
        <v>114</v>
      </c>
      <c r="B14" s="29" t="s">
        <v>115</v>
      </c>
      <c r="C14" s="35">
        <v>16.0</v>
      </c>
      <c r="D14" s="35"/>
      <c r="E14" s="35">
        <v>8.0</v>
      </c>
      <c r="F14" s="35"/>
      <c r="G14" s="35"/>
      <c r="H14" s="35"/>
      <c r="I14" s="35"/>
      <c r="J14" s="31">
        <f t="shared" si="2"/>
        <v>24</v>
      </c>
      <c r="K14" s="34">
        <f>IF(COUNT(C14:I14)=0,"&lt;&lt;THIẾU&gt;&gt;",IF(COUNT('Đơn giá'!$B$4:$B$10)&lt;7,"&lt;&lt;THIẾU: đơn giá&gt;&gt;",N(C14)*'Đơn giá'!$B$4+N(D14)*'Đơn giá'!$B$5+N(E14)*'Đơn giá'!$B$6+N(F14)*'Đơn giá'!$B$7+N(G14)*'Đơn giá'!$B$8+N(H14)*'Đơn giá'!$B$9+N(I14)*'Đơn giá'!$B$10))</f>
        <v>6800000</v>
      </c>
      <c r="L14" s="29"/>
    </row>
    <row r="15" ht="14.25" customHeight="1">
      <c r="A15" s="6" t="s">
        <v>119</v>
      </c>
      <c r="B15" s="11" t="s">
        <v>120</v>
      </c>
      <c r="C15" s="17">
        <f t="shared" ref="C15:I15" si="4">SUM(C16,C17,C18,C19,C20,C21)</f>
        <v>4</v>
      </c>
      <c r="D15" s="17">
        <f t="shared" si="4"/>
        <v>132</v>
      </c>
      <c r="E15" s="17">
        <f t="shared" si="4"/>
        <v>26</v>
      </c>
      <c r="F15" s="17">
        <f t="shared" si="4"/>
        <v>160</v>
      </c>
      <c r="G15" s="17">
        <f t="shared" si="4"/>
        <v>240</v>
      </c>
      <c r="H15" s="17">
        <f t="shared" si="4"/>
        <v>0</v>
      </c>
      <c r="I15" s="17">
        <f t="shared" si="4"/>
        <v>0</v>
      </c>
      <c r="J15" s="17">
        <f t="shared" si="2"/>
        <v>562</v>
      </c>
      <c r="K15" s="26">
        <f>IF(COUNT(C15:I15)=0,"&lt;&lt;THIẾU&gt;&gt;",IF(COUNT('Đơn giá'!$B$4:$B$10)&lt;7,"&lt;&lt;THIẾU: đơn giá&gt;&gt;",N(C15)*'Đơn giá'!$B$4+N(D15)*'Đơn giá'!$B$5+N(E15)*'Đơn giá'!$B$6+N(F15)*'Đơn giá'!$B$7+N(G15)*'Đơn giá'!$B$8+N(H15)*'Đơn giá'!$B$9+N(I15)*'Đơn giá'!$B$10))</f>
        <v>127860000</v>
      </c>
      <c r="L15" s="11"/>
    </row>
    <row r="16" ht="14.25" customHeight="1">
      <c r="A16" s="28" t="s">
        <v>121</v>
      </c>
      <c r="B16" s="29" t="s">
        <v>122</v>
      </c>
      <c r="C16" s="35"/>
      <c r="D16" s="35">
        <v>56.0</v>
      </c>
      <c r="E16" s="35"/>
      <c r="F16" s="35"/>
      <c r="G16" s="35"/>
      <c r="H16" s="35"/>
      <c r="I16" s="35"/>
      <c r="J16" s="31">
        <f t="shared" si="2"/>
        <v>56</v>
      </c>
      <c r="K16" s="34">
        <f>IF(COUNT(C16:I16)=0,"&lt;&lt;THIẾU&gt;&gt;",IF(COUNT('Đơn giá'!$B$4:$B$10)&lt;7,"&lt;&lt;THIẾU: đơn giá&gt;&gt;",N(C16)*'Đơn giá'!$B$4+N(D16)*'Đơn giá'!$B$5+N(E16)*'Đơn giá'!$B$6+N(F16)*'Đơn giá'!$B$7+N(G16)*'Đơn giá'!$B$8+N(H16)*'Đơn giá'!$B$9+N(I16)*'Đơn giá'!$B$10))</f>
        <v>15680000</v>
      </c>
      <c r="L16" s="29"/>
    </row>
    <row r="17" ht="14.25" customHeight="1">
      <c r="A17" s="28" t="s">
        <v>123</v>
      </c>
      <c r="B17" s="50" t="s">
        <v>124</v>
      </c>
      <c r="C17" s="35"/>
      <c r="D17" s="35">
        <v>12.0</v>
      </c>
      <c r="E17" s="30">
        <v>4.0</v>
      </c>
      <c r="F17" s="35"/>
      <c r="G17" s="35"/>
      <c r="H17" s="35"/>
      <c r="I17" s="35"/>
      <c r="J17" s="31">
        <f t="shared" si="2"/>
        <v>16</v>
      </c>
      <c r="K17" s="34">
        <f>IF(COUNT(C17:I17)=0,"&lt;&lt;THIẾU&gt;&gt;",IF(COUNT('Đơn giá'!$B$4:$B$10)&lt;7,"&lt;&lt;THIẾU: đơn giá&gt;&gt;",N(C17)*'Đơn giá'!$B$4+N(D17)*'Đơn giá'!$B$5+N(E17)*'Đơn giá'!$B$6+N(F17)*'Đơn giá'!$B$7+N(G17)*'Đơn giá'!$B$8+N(H17)*'Đơn giá'!$B$9+N(I17)*'Đơn giá'!$B$10))</f>
        <v>4360000</v>
      </c>
      <c r="L17" s="29"/>
    </row>
    <row r="18" ht="14.25" customHeight="1">
      <c r="A18" s="28" t="s">
        <v>125</v>
      </c>
      <c r="B18" s="29" t="s">
        <v>126</v>
      </c>
      <c r="C18" s="35"/>
      <c r="D18" s="35"/>
      <c r="E18" s="30">
        <v>16.0</v>
      </c>
      <c r="F18" s="30">
        <v>160.0</v>
      </c>
      <c r="G18" s="35"/>
      <c r="H18" s="35"/>
      <c r="I18" s="35"/>
      <c r="J18" s="31">
        <f t="shared" si="2"/>
        <v>176</v>
      </c>
      <c r="K18" s="34">
        <f>IF(COUNT(C18:I18)=0,"&lt;&lt;THIẾU&gt;&gt;",IF(COUNT('Đơn giá'!$B$4:$B$10)&lt;7,"&lt;&lt;THIẾU: đơn giá&gt;&gt;",N(C18)*'Đơn giá'!$B$4+N(D18)*'Đơn giá'!$B$5+N(E18)*'Đơn giá'!$B$6+N(F18)*'Đơn giá'!$B$7+N(G18)*'Đơn giá'!$B$8+N(H18)*'Đơn giá'!$B$9+N(I18)*'Đơn giá'!$B$10))</f>
        <v>39200000</v>
      </c>
      <c r="L18" s="29"/>
    </row>
    <row r="19" ht="14.25" customHeight="1">
      <c r="A19" s="28" t="s">
        <v>127</v>
      </c>
      <c r="B19" s="29" t="s">
        <v>128</v>
      </c>
      <c r="C19" s="35"/>
      <c r="D19" s="35">
        <v>36.0</v>
      </c>
      <c r="E19" s="30">
        <v>6.0</v>
      </c>
      <c r="F19" s="35"/>
      <c r="G19" s="35"/>
      <c r="H19" s="35"/>
      <c r="I19" s="35"/>
      <c r="J19" s="31">
        <f t="shared" si="2"/>
        <v>42</v>
      </c>
      <c r="K19" s="34">
        <f>IF(COUNT(C19:I19)=0,"&lt;&lt;THIẾU&gt;&gt;",IF(COUNT('Đơn giá'!$B$4:$B$10)&lt;7,"&lt;&lt;THIẾU: đơn giá&gt;&gt;",N(C19)*'Đơn giá'!$B$4+N(D19)*'Đơn giá'!$B$5+N(E19)*'Đơn giá'!$B$6+N(F19)*'Đơn giá'!$B$7+N(G19)*'Đơn giá'!$B$8+N(H19)*'Đơn giá'!$B$9+N(I19)*'Đơn giá'!$B$10))</f>
        <v>11580000</v>
      </c>
      <c r="L19" s="29"/>
    </row>
    <row r="20" ht="14.25" customHeight="1">
      <c r="A20" s="28" t="s">
        <v>129</v>
      </c>
      <c r="B20" s="29" t="s">
        <v>130</v>
      </c>
      <c r="C20" s="35"/>
      <c r="D20" s="35"/>
      <c r="E20" s="35"/>
      <c r="F20" s="35"/>
      <c r="G20" s="30">
        <v>240.0</v>
      </c>
      <c r="H20" s="35"/>
      <c r="I20" s="35"/>
      <c r="J20" s="31">
        <f t="shared" si="2"/>
        <v>240</v>
      </c>
      <c r="K20" s="34">
        <f>IF(COUNT(C20:I20)=0,"&lt;&lt;THIẾU&gt;&gt;",IF(COUNT('Đơn giá'!$B$4:$B$10)&lt;7,"&lt;&lt;THIẾU: đơn giá&gt;&gt;",N(C20)*'Đơn giá'!$B$4+N(D20)*'Đơn giá'!$B$5+N(E20)*'Đơn giá'!$B$6+N(F20)*'Đơn giá'!$B$7+N(G20)*'Đơn giá'!$B$8+N(H20)*'Đơn giá'!$B$9+N(I20)*'Đơn giá'!$B$10))</f>
        <v>48000000</v>
      </c>
      <c r="L20" s="29"/>
    </row>
    <row r="21" ht="14.25" customHeight="1">
      <c r="A21" s="28" t="s">
        <v>131</v>
      </c>
      <c r="B21" s="29" t="s">
        <v>132</v>
      </c>
      <c r="C21" s="35">
        <v>4.0</v>
      </c>
      <c r="D21" s="35">
        <v>28.0</v>
      </c>
      <c r="E21" s="35"/>
      <c r="F21" s="35"/>
      <c r="G21" s="35"/>
      <c r="H21" s="35"/>
      <c r="I21" s="35"/>
      <c r="J21" s="31">
        <f t="shared" si="2"/>
        <v>32</v>
      </c>
      <c r="K21" s="34">
        <f>IF(COUNT(C21:I21)=0,"&lt;&lt;THIẾU&gt;&gt;",IF(COUNT('Đơn giá'!$B$4:$B$10)&lt;7,"&lt;&lt;THIẾU: đơn giá&gt;&gt;",N(C21)*'Đơn giá'!$B$4+N(D21)*'Đơn giá'!$B$5+N(E21)*'Đơn giá'!$B$6+N(F21)*'Đơn giá'!$B$7+N(G21)*'Đơn giá'!$B$8+N(H21)*'Đơn giá'!$B$9+N(I21)*'Đơn giá'!$B$10))</f>
        <v>9040000</v>
      </c>
      <c r="L21" s="29"/>
    </row>
    <row r="22" ht="14.25" customHeight="1">
      <c r="A22" s="6" t="s">
        <v>133</v>
      </c>
      <c r="B22" s="11" t="s">
        <v>134</v>
      </c>
      <c r="C22" s="17">
        <f t="shared" ref="C22:I22" si="5">SUM(C23,C24,C25,C26,C27,C28)</f>
        <v>0</v>
      </c>
      <c r="D22" s="17">
        <f t="shared" si="5"/>
        <v>89</v>
      </c>
      <c r="E22" s="17">
        <f t="shared" si="5"/>
        <v>48</v>
      </c>
      <c r="F22" s="17">
        <f t="shared" si="5"/>
        <v>0</v>
      </c>
      <c r="G22" s="17">
        <f t="shared" si="5"/>
        <v>1196</v>
      </c>
      <c r="H22" s="17">
        <f t="shared" si="5"/>
        <v>0</v>
      </c>
      <c r="I22" s="17">
        <f t="shared" si="5"/>
        <v>120</v>
      </c>
      <c r="J22" s="17">
        <f t="shared" si="2"/>
        <v>1453</v>
      </c>
      <c r="K22" s="26">
        <f>IF(COUNT(C22:I22)=0,"&lt;&lt;THIẾU&gt;&gt;",IF(COUNT('Đơn giá'!$B$4:$B$10)&lt;7,"&lt;&lt;THIẾU: đơn giá&gt;&gt;",N(C22)*'Đơn giá'!$B$4+N(D22)*'Đơn giá'!$B$5+N(E22)*'Đơn giá'!$B$6+N(F22)*'Đơn giá'!$B$7+N(G22)*'Đơn giá'!$B$8+N(H22)*'Đơn giá'!$B$9+N(I22)*'Đơn giá'!$B$10))</f>
        <v>297720000</v>
      </c>
      <c r="L22" s="11"/>
    </row>
    <row r="23" ht="14.25" customHeight="1">
      <c r="A23" s="28" t="s">
        <v>135</v>
      </c>
      <c r="B23" s="29" t="s">
        <v>136</v>
      </c>
      <c r="C23" s="35"/>
      <c r="D23" s="35"/>
      <c r="E23" s="35"/>
      <c r="F23" s="35"/>
      <c r="G23" s="30">
        <v>156.0</v>
      </c>
      <c r="H23" s="35"/>
      <c r="I23" s="35">
        <v>120.0</v>
      </c>
      <c r="J23" s="31">
        <f t="shared" si="2"/>
        <v>276</v>
      </c>
      <c r="K23" s="34">
        <f>IF(COUNT(C23:I23)=0,"&lt;&lt;THIẾU&gt;&gt;",IF(COUNT('Đơn giá'!$B$4:$B$10)&lt;7,"&lt;&lt;THIẾU: đơn giá&gt;&gt;",N(C23)*'Đơn giá'!$B$4+N(D23)*'Đơn giá'!$B$5+N(E23)*'Đơn giá'!$B$6+N(F23)*'Đơn giá'!$B$7+N(G23)*'Đơn giá'!$B$8+N(H23)*'Đơn giá'!$B$9+N(I23)*'Đơn giá'!$B$10))</f>
        <v>52800000</v>
      </c>
      <c r="L23" s="29"/>
    </row>
    <row r="24" ht="14.25" customHeight="1">
      <c r="A24" s="28" t="s">
        <v>137</v>
      </c>
      <c r="B24" s="29" t="s">
        <v>138</v>
      </c>
      <c r="C24" s="35"/>
      <c r="D24" s="35"/>
      <c r="E24" s="30">
        <v>12.0</v>
      </c>
      <c r="F24" s="30"/>
      <c r="G24" s="30">
        <v>160.0</v>
      </c>
      <c r="H24" s="35"/>
      <c r="I24" s="35"/>
      <c r="J24" s="31">
        <f t="shared" si="2"/>
        <v>172</v>
      </c>
      <c r="K24" s="34">
        <f>IF(COUNT(C24:I24)=0,"&lt;&lt;THIẾU&gt;&gt;",IF(COUNT('Đơn giá'!$B$4:$B$10)&lt;7,"&lt;&lt;THIẾU: đơn giá&gt;&gt;",N(C24)*'Đơn giá'!$B$4+N(D24)*'Đơn giá'!$B$5+N(E24)*'Đơn giá'!$B$6+N(F24)*'Đơn giá'!$B$7+N(G24)*'Đơn giá'!$B$8+N(H24)*'Đơn giá'!$B$9+N(I24)*'Đơn giá'!$B$10))</f>
        <v>35000000</v>
      </c>
      <c r="L24" s="29"/>
    </row>
    <row r="25" ht="14.25" customHeight="1">
      <c r="A25" s="28" t="s">
        <v>139</v>
      </c>
      <c r="B25" s="29" t="s">
        <v>140</v>
      </c>
      <c r="C25" s="35"/>
      <c r="D25" s="35"/>
      <c r="E25" s="30">
        <v>12.0</v>
      </c>
      <c r="F25" s="35"/>
      <c r="G25" s="30">
        <v>160.0</v>
      </c>
      <c r="H25" s="35"/>
      <c r="I25" s="35"/>
      <c r="J25" s="31">
        <f t="shared" si="2"/>
        <v>172</v>
      </c>
      <c r="K25" s="34">
        <f>IF(COUNT(C25:I25)=0,"&lt;&lt;THIẾU&gt;&gt;",IF(COUNT('Đơn giá'!$B$4:$B$10)&lt;7,"&lt;&lt;THIẾU: đơn giá&gt;&gt;",N(C25)*'Đơn giá'!$B$4+N(D25)*'Đơn giá'!$B$5+N(E25)*'Đơn giá'!$B$6+N(F25)*'Đơn giá'!$B$7+N(G25)*'Đơn giá'!$B$8+N(H25)*'Đơn giá'!$B$9+N(I25)*'Đơn giá'!$B$10))</f>
        <v>35000000</v>
      </c>
      <c r="L25" s="29"/>
    </row>
    <row r="26" ht="14.25" customHeight="1">
      <c r="A26" s="28" t="s">
        <v>141</v>
      </c>
      <c r="B26" s="29" t="s">
        <v>142</v>
      </c>
      <c r="C26" s="35"/>
      <c r="D26" s="35"/>
      <c r="E26" s="30">
        <v>12.0</v>
      </c>
      <c r="F26" s="35"/>
      <c r="G26" s="30">
        <v>240.0</v>
      </c>
      <c r="H26" s="35"/>
      <c r="I26" s="35"/>
      <c r="J26" s="31">
        <f t="shared" si="2"/>
        <v>252</v>
      </c>
      <c r="K26" s="34">
        <f>IF(COUNT(C26:I26)=0,"&lt;&lt;THIẾU&gt;&gt;",IF(COUNT('Đơn giá'!$B$4:$B$10)&lt;7,"&lt;&lt;THIẾU: đơn giá&gt;&gt;",N(C26)*'Đơn giá'!$B$4+N(D26)*'Đơn giá'!$B$5+N(E26)*'Đơn giá'!$B$6+N(F26)*'Đơn giá'!$B$7+N(G26)*'Đơn giá'!$B$8+N(H26)*'Đơn giá'!$B$9+N(I26)*'Đơn giá'!$B$10))</f>
        <v>51000000</v>
      </c>
      <c r="L26" s="29"/>
    </row>
    <row r="27" ht="14.25" customHeight="1">
      <c r="A27" s="28" t="s">
        <v>143</v>
      </c>
      <c r="B27" s="29" t="s">
        <v>144</v>
      </c>
      <c r="C27" s="35"/>
      <c r="D27" s="35"/>
      <c r="E27" s="30">
        <v>12.0</v>
      </c>
      <c r="F27" s="35"/>
      <c r="G27" s="30">
        <v>480.0</v>
      </c>
      <c r="H27" s="35"/>
      <c r="I27" s="35"/>
      <c r="J27" s="31">
        <f t="shared" si="2"/>
        <v>492</v>
      </c>
      <c r="K27" s="34">
        <f>IF(COUNT(C27:I27)=0,"&lt;&lt;THIẾU&gt;&gt;",IF(COUNT('Đơn giá'!$B$4:$B$10)&lt;7,"&lt;&lt;THIẾU: đơn giá&gt;&gt;",N(C27)*'Đơn giá'!$B$4+N(D27)*'Đơn giá'!$B$5+N(E27)*'Đơn giá'!$B$6+N(F27)*'Đơn giá'!$B$7+N(G27)*'Đơn giá'!$B$8+N(H27)*'Đơn giá'!$B$9+N(I27)*'Đơn giá'!$B$10))</f>
        <v>99000000</v>
      </c>
      <c r="L27" s="29"/>
    </row>
    <row r="28" ht="14.25" customHeight="1">
      <c r="A28" s="28" t="s">
        <v>145</v>
      </c>
      <c r="B28" s="29" t="s">
        <v>146</v>
      </c>
      <c r="C28" s="35"/>
      <c r="D28" s="35">
        <v>89.0</v>
      </c>
      <c r="E28" s="35"/>
      <c r="F28" s="35"/>
      <c r="G28" s="35"/>
      <c r="H28" s="35"/>
      <c r="I28" s="35"/>
      <c r="J28" s="31">
        <f t="shared" si="2"/>
        <v>89</v>
      </c>
      <c r="K28" s="34">
        <f>IF(COUNT(C28:I28)=0,"&lt;&lt;THIẾU&gt;&gt;",IF(COUNT('Đơn giá'!$B$4:$B$10)&lt;7,"&lt;&lt;THIẾU: đơn giá&gt;&gt;",N(C28)*'Đơn giá'!$B$4+N(D28)*'Đơn giá'!$B$5+N(E28)*'Đơn giá'!$B$6+N(F28)*'Đơn giá'!$B$7+N(G28)*'Đơn giá'!$B$8+N(H28)*'Đơn giá'!$B$9+N(I28)*'Đơn giá'!$B$10))</f>
        <v>24920000</v>
      </c>
      <c r="L28" s="29"/>
    </row>
    <row r="29" ht="14.25" customHeight="1">
      <c r="A29" s="6" t="s">
        <v>147</v>
      </c>
      <c r="B29" s="11" t="s">
        <v>148</v>
      </c>
      <c r="C29" s="17">
        <f t="shared" ref="C29:I29" si="6">SUM(C30,C31,C32,C33,C34,C35)</f>
        <v>0</v>
      </c>
      <c r="D29" s="17">
        <f t="shared" si="6"/>
        <v>0</v>
      </c>
      <c r="E29" s="17">
        <f t="shared" si="6"/>
        <v>32</v>
      </c>
      <c r="F29" s="17">
        <f t="shared" si="6"/>
        <v>0</v>
      </c>
      <c r="G29" s="17">
        <f t="shared" si="6"/>
        <v>240</v>
      </c>
      <c r="H29" s="17">
        <f t="shared" si="6"/>
        <v>496</v>
      </c>
      <c r="I29" s="17">
        <f t="shared" si="6"/>
        <v>0</v>
      </c>
      <c r="J29" s="17">
        <f t="shared" si="2"/>
        <v>768</v>
      </c>
      <c r="K29" s="26">
        <f>IF(COUNT(C29:I29)=0,"&lt;&lt;THIẾU&gt;&gt;",IF(COUNT('Đơn giá'!$B$4:$B$10)&lt;7,"&lt;&lt;THIẾU: đơn giá&gt;&gt;",N(C29)*'Đơn giá'!$B$4+N(D29)*'Đơn giá'!$B$5+N(E29)*'Đơn giá'!$B$6+N(F29)*'Đơn giá'!$B$7+N(G29)*'Đơn giá'!$B$8+N(H29)*'Đơn giá'!$B$9+N(I29)*'Đơn giá'!$B$10))</f>
        <v>145280000</v>
      </c>
      <c r="L29" s="11"/>
    </row>
    <row r="30" ht="14.25" customHeight="1">
      <c r="A30" s="28" t="s">
        <v>149</v>
      </c>
      <c r="B30" s="29" t="s">
        <v>150</v>
      </c>
      <c r="C30" s="35"/>
      <c r="D30" s="35"/>
      <c r="E30" s="35"/>
      <c r="F30" s="35"/>
      <c r="G30" s="35"/>
      <c r="H30" s="35">
        <v>192.0</v>
      </c>
      <c r="I30" s="35"/>
      <c r="J30" s="31">
        <f t="shared" si="2"/>
        <v>192</v>
      </c>
      <c r="K30" s="34">
        <f>IF(COUNT(C30:I30)=0,"&lt;&lt;THIẾU&gt;&gt;",IF(COUNT('Đơn giá'!$B$4:$B$10)&lt;7,"&lt;&lt;THIẾU: đơn giá&gt;&gt;",N(C30)*'Đơn giá'!$B$4+N(D30)*'Đơn giá'!$B$5+N(E30)*'Đơn giá'!$B$6+N(F30)*'Đơn giá'!$B$7+N(G30)*'Đơn giá'!$B$8+N(H30)*'Đơn giá'!$B$9+N(I30)*'Đơn giá'!$B$10))</f>
        <v>34560000</v>
      </c>
      <c r="L30" s="29"/>
    </row>
    <row r="31" ht="14.25" customHeight="1">
      <c r="A31" s="28" t="s">
        <v>151</v>
      </c>
      <c r="B31" s="29" t="s">
        <v>152</v>
      </c>
      <c r="C31" s="35"/>
      <c r="D31" s="35"/>
      <c r="E31" s="35"/>
      <c r="F31" s="35"/>
      <c r="G31" s="35"/>
      <c r="H31" s="30">
        <v>160.0</v>
      </c>
      <c r="I31" s="35"/>
      <c r="J31" s="31">
        <f t="shared" si="2"/>
        <v>160</v>
      </c>
      <c r="K31" s="34">
        <f>IF(COUNT(C31:I31)=0,"&lt;&lt;THIẾU&gt;&gt;",IF(COUNT('Đơn giá'!$B$4:$B$10)&lt;7,"&lt;&lt;THIẾU: đơn giá&gt;&gt;",N(C31)*'Đơn giá'!$B$4+N(D31)*'Đơn giá'!$B$5+N(E31)*'Đơn giá'!$B$6+N(F31)*'Đơn giá'!$B$7+N(G31)*'Đơn giá'!$B$8+N(H31)*'Đơn giá'!$B$9+N(I31)*'Đơn giá'!$B$10))</f>
        <v>28800000</v>
      </c>
      <c r="L31" s="29"/>
    </row>
    <row r="32" ht="14.25" customHeight="1">
      <c r="A32" s="28" t="s">
        <v>153</v>
      </c>
      <c r="B32" s="29" t="s">
        <v>154</v>
      </c>
      <c r="C32" s="35"/>
      <c r="D32" s="35"/>
      <c r="E32" s="35"/>
      <c r="F32" s="35"/>
      <c r="G32" s="35"/>
      <c r="H32" s="35">
        <v>40.0</v>
      </c>
      <c r="I32" s="35"/>
      <c r="J32" s="31">
        <f t="shared" si="2"/>
        <v>40</v>
      </c>
      <c r="K32" s="34">
        <f>IF(COUNT(C32:I32)=0,"&lt;&lt;THIẾU&gt;&gt;",IF(COUNT('Đơn giá'!$B$4:$B$10)&lt;7,"&lt;&lt;THIẾU: đơn giá&gt;&gt;",N(C32)*'Đơn giá'!$B$4+N(D32)*'Đơn giá'!$B$5+N(E32)*'Đơn giá'!$B$6+N(F32)*'Đơn giá'!$B$7+N(G32)*'Đơn giá'!$B$8+N(H32)*'Đơn giá'!$B$9+N(I32)*'Đơn giá'!$B$10))</f>
        <v>7200000</v>
      </c>
      <c r="L32" s="29"/>
    </row>
    <row r="33" ht="14.25" customHeight="1">
      <c r="A33" s="28" t="s">
        <v>155</v>
      </c>
      <c r="B33" s="29" t="s">
        <v>156</v>
      </c>
      <c r="C33" s="35"/>
      <c r="D33" s="35"/>
      <c r="E33" s="35"/>
      <c r="F33" s="35"/>
      <c r="G33" s="35"/>
      <c r="H33" s="35">
        <v>16.0</v>
      </c>
      <c r="I33" s="35"/>
      <c r="J33" s="31">
        <f t="shared" si="2"/>
        <v>16</v>
      </c>
      <c r="K33" s="34">
        <f>IF(COUNT(C33:I33)=0,"&lt;&lt;THIẾU&gt;&gt;",IF(COUNT('Đơn giá'!$B$4:$B$10)&lt;7,"&lt;&lt;THIẾU: đơn giá&gt;&gt;",N(C33)*'Đơn giá'!$B$4+N(D33)*'Đơn giá'!$B$5+N(E33)*'Đơn giá'!$B$6+N(F33)*'Đơn giá'!$B$7+N(G33)*'Đơn giá'!$B$8+N(H33)*'Đơn giá'!$B$9+N(I33)*'Đơn giá'!$B$10))</f>
        <v>2880000</v>
      </c>
      <c r="L33" s="29"/>
    </row>
    <row r="34" ht="14.25" customHeight="1">
      <c r="A34" s="28" t="s">
        <v>157</v>
      </c>
      <c r="B34" s="29" t="s">
        <v>158</v>
      </c>
      <c r="C34" s="35"/>
      <c r="D34" s="35"/>
      <c r="E34" s="35"/>
      <c r="F34" s="35"/>
      <c r="G34" s="30">
        <v>160.0</v>
      </c>
      <c r="H34" s="35">
        <v>40.0</v>
      </c>
      <c r="I34" s="35"/>
      <c r="J34" s="31">
        <f t="shared" si="2"/>
        <v>200</v>
      </c>
      <c r="K34" s="34">
        <f>IF(COUNT(C34:I34)=0,"&lt;&lt;THIẾU&gt;&gt;",IF(COUNT('Đơn giá'!$B$4:$B$10)&lt;7,"&lt;&lt;THIẾU: đơn giá&gt;&gt;",N(C34)*'Đơn giá'!$B$4+N(D34)*'Đơn giá'!$B$5+N(E34)*'Đơn giá'!$B$6+N(F34)*'Đơn giá'!$B$7+N(G34)*'Đơn giá'!$B$8+N(H34)*'Đơn giá'!$B$9+N(I34)*'Đơn giá'!$B$10))</f>
        <v>39200000</v>
      </c>
      <c r="L34" s="29"/>
    </row>
    <row r="35" ht="14.25" customHeight="1">
      <c r="A35" s="28" t="s">
        <v>159</v>
      </c>
      <c r="B35" s="50" t="s">
        <v>160</v>
      </c>
      <c r="C35" s="35"/>
      <c r="D35" s="35"/>
      <c r="E35" s="30">
        <v>32.0</v>
      </c>
      <c r="F35" s="35"/>
      <c r="G35" s="30">
        <v>80.0</v>
      </c>
      <c r="H35" s="35">
        <v>48.0</v>
      </c>
      <c r="I35" s="35"/>
      <c r="J35" s="31">
        <f t="shared" si="2"/>
        <v>160</v>
      </c>
      <c r="K35" s="34">
        <f>IF(COUNT(C35:I35)=0,"&lt;&lt;THIẾU&gt;&gt;",IF(COUNT('Đơn giá'!$B$4:$B$10)&lt;7,"&lt;&lt;THIẾU: đơn giá&gt;&gt;",N(C35)*'Đơn giá'!$B$4+N(D35)*'Đơn giá'!$B$5+N(E35)*'Đơn giá'!$B$6+N(F35)*'Đơn giá'!$B$7+N(G35)*'Đơn giá'!$B$8+N(H35)*'Đơn giá'!$B$9+N(I35)*'Đơn giá'!$B$10))</f>
        <v>32640000</v>
      </c>
      <c r="L35" s="29"/>
    </row>
    <row r="36" ht="14.25" customHeight="1">
      <c r="A36" s="6" t="s">
        <v>161</v>
      </c>
      <c r="B36" s="11" t="s">
        <v>162</v>
      </c>
      <c r="C36" s="17">
        <f t="shared" ref="C36:I36" si="7">SUM(C37,C38,C39,C40)</f>
        <v>8</v>
      </c>
      <c r="D36" s="17">
        <f t="shared" si="7"/>
        <v>0</v>
      </c>
      <c r="E36" s="17">
        <f t="shared" si="7"/>
        <v>40</v>
      </c>
      <c r="F36" s="17">
        <f t="shared" si="7"/>
        <v>0</v>
      </c>
      <c r="G36" s="17">
        <f t="shared" si="7"/>
        <v>124</v>
      </c>
      <c r="H36" s="17">
        <f t="shared" si="7"/>
        <v>0</v>
      </c>
      <c r="I36" s="17">
        <f t="shared" si="7"/>
        <v>32</v>
      </c>
      <c r="J36" s="17">
        <f t="shared" si="2"/>
        <v>204</v>
      </c>
      <c r="K36" s="26">
        <f>IF(COUNT(C36:I36)=0,"&lt;&lt;THIẾU&gt;&gt;",IF(COUNT('Đơn giá'!$B$4:$B$10)&lt;7,"&lt;&lt;THIẾU: đơn giá&gt;&gt;",N(C36)*'Đơn giá'!$B$4+N(D36)*'Đơn giá'!$B$5+N(E36)*'Đơn giá'!$B$6+N(F36)*'Đơn giá'!$B$7+N(G36)*'Đơn giá'!$B$8+N(H36)*'Đơn giá'!$B$9+N(I36)*'Đơn giá'!$B$10))</f>
        <v>42960000</v>
      </c>
      <c r="L36" s="11"/>
    </row>
    <row r="37" ht="14.25" customHeight="1">
      <c r="A37" s="28" t="s">
        <v>163</v>
      </c>
      <c r="B37" s="29" t="s">
        <v>164</v>
      </c>
      <c r="C37" s="35"/>
      <c r="D37" s="35"/>
      <c r="E37" s="35">
        <v>32.0</v>
      </c>
      <c r="F37" s="35"/>
      <c r="G37" s="35"/>
      <c r="H37" s="35"/>
      <c r="I37" s="35">
        <v>16.0</v>
      </c>
      <c r="J37" s="31">
        <f t="shared" si="2"/>
        <v>48</v>
      </c>
      <c r="K37" s="34">
        <f>IF(COUNT(C37:I37)=0,"&lt;&lt;THIẾU&gt;&gt;",IF(COUNT('Đơn giá'!$B$4:$B$10)&lt;7,"&lt;&lt;THIẾU: đơn giá&gt;&gt;",N(C37)*'Đơn giá'!$B$4+N(D37)*'Đơn giá'!$B$5+N(E37)*'Đơn giá'!$B$6+N(F37)*'Đơn giá'!$B$7+N(G37)*'Đơn giá'!$B$8+N(H37)*'Đơn giá'!$B$9+N(I37)*'Đơn giá'!$B$10))</f>
        <v>10880000</v>
      </c>
      <c r="L37" s="29"/>
    </row>
    <row r="38" ht="14.25" customHeight="1">
      <c r="A38" s="28" t="s">
        <v>165</v>
      </c>
      <c r="B38" s="29" t="s">
        <v>166</v>
      </c>
      <c r="C38" s="35"/>
      <c r="D38" s="35"/>
      <c r="E38" s="35">
        <v>8.0</v>
      </c>
      <c r="F38" s="35"/>
      <c r="G38" s="35"/>
      <c r="H38" s="35"/>
      <c r="I38" s="35">
        <v>8.0</v>
      </c>
      <c r="J38" s="31">
        <f t="shared" si="2"/>
        <v>16</v>
      </c>
      <c r="K38" s="34">
        <f>IF(COUNT(C38:I38)=0,"&lt;&lt;THIẾU&gt;&gt;",IF(COUNT('Đơn giá'!$B$4:$B$10)&lt;7,"&lt;&lt;THIẾU: đơn giá&gt;&gt;",N(C38)*'Đơn giá'!$B$4+N(D38)*'Đơn giá'!$B$5+N(E38)*'Đơn giá'!$B$6+N(F38)*'Đơn giá'!$B$7+N(G38)*'Đơn giá'!$B$8+N(H38)*'Đơn giá'!$B$9+N(I38)*'Đơn giá'!$B$10))</f>
        <v>3440000</v>
      </c>
      <c r="L38" s="29"/>
    </row>
    <row r="39" ht="14.25" customHeight="1">
      <c r="A39" s="28" t="s">
        <v>167</v>
      </c>
      <c r="B39" s="29" t="s">
        <v>168</v>
      </c>
      <c r="C39" s="35"/>
      <c r="D39" s="35"/>
      <c r="E39" s="35"/>
      <c r="F39" s="35"/>
      <c r="G39" s="35"/>
      <c r="H39" s="35"/>
      <c r="I39" s="35">
        <v>8.0</v>
      </c>
      <c r="J39" s="31">
        <f t="shared" si="2"/>
        <v>8</v>
      </c>
      <c r="K39" s="34">
        <f>IF(COUNT(C39:I39)=0,"&lt;&lt;THIẾU&gt;&gt;",IF(COUNT('Đơn giá'!$B$4:$B$10)&lt;7,"&lt;&lt;THIẾU: đơn giá&gt;&gt;",N(C39)*'Đơn giá'!$B$4+N(D39)*'Đơn giá'!$B$5+N(E39)*'Đơn giá'!$B$6+N(F39)*'Đơn giá'!$B$7+N(G39)*'Đơn giá'!$B$8+N(H39)*'Đơn giá'!$B$9+N(I39)*'Đơn giá'!$B$10))</f>
        <v>1440000</v>
      </c>
      <c r="L39" s="29"/>
    </row>
    <row r="40" ht="14.25" customHeight="1">
      <c r="A40" s="28" t="s">
        <v>169</v>
      </c>
      <c r="B40" s="29" t="s">
        <v>170</v>
      </c>
      <c r="C40" s="35">
        <v>8.0</v>
      </c>
      <c r="D40" s="35"/>
      <c r="E40" s="35"/>
      <c r="F40" s="35"/>
      <c r="G40" s="30">
        <v>124.0</v>
      </c>
      <c r="H40" s="35"/>
      <c r="I40" s="35"/>
      <c r="J40" s="31">
        <f t="shared" si="2"/>
        <v>132</v>
      </c>
      <c r="K40" s="34">
        <f>IF(COUNT(C40:I40)=0,"&lt;&lt;THIẾU&gt;&gt;",IF(COUNT('Đơn giá'!$B$4:$B$10)&lt;7,"&lt;&lt;THIẾU: đơn giá&gt;&gt;",N(C40)*'Đơn giá'!$B$4+N(D40)*'Đơn giá'!$B$5+N(E40)*'Đơn giá'!$B$6+N(F40)*'Đơn giá'!$B$7+N(G40)*'Đơn giá'!$B$8+N(H40)*'Đơn giá'!$B$9+N(I40)*'Đơn giá'!$B$10))</f>
        <v>27200000</v>
      </c>
      <c r="L40" s="29"/>
    </row>
    <row r="41" ht="14.25" customHeight="1">
      <c r="A41" s="64"/>
      <c r="B41" s="64" t="s">
        <v>171</v>
      </c>
      <c r="C41" s="64">
        <f t="shared" ref="C41:I41" si="8">SUM(C4,C9,C15,C22,C29,C36)</f>
        <v>236</v>
      </c>
      <c r="D41" s="64">
        <f t="shared" si="8"/>
        <v>249</v>
      </c>
      <c r="E41" s="64">
        <f t="shared" si="8"/>
        <v>390</v>
      </c>
      <c r="F41" s="64">
        <f t="shared" si="8"/>
        <v>212</v>
      </c>
      <c r="G41" s="64">
        <f t="shared" si="8"/>
        <v>1812</v>
      </c>
      <c r="H41" s="64">
        <f t="shared" si="8"/>
        <v>508</v>
      </c>
      <c r="I41" s="64">
        <f t="shared" si="8"/>
        <v>154</v>
      </c>
      <c r="J41" s="64">
        <f>IF(COUNT(C4:I40)=0,"&lt;&lt;THIẾU&gt;&gt;",SUM(C41:I41))</f>
        <v>3561</v>
      </c>
      <c r="K41" s="55">
        <f>IF(COUNT(C4:I40)=0,"&lt;&lt;THIẾU&gt;&gt;",IF(COUNT('Đơn giá'!$B$4:$B$10)&lt;7,"&lt;&lt;THIẾU: đơn giá&gt;&gt;",N(C41)*'Đơn giá'!$B$4+N(D41)*'Đơn giá'!$B$5+N(E41)*'Đơn giá'!$B$6+N(F41)*'Đơn giá'!$B$7+N(G41)*'Đơn giá'!$B$8+N(H41)*'Đơn giá'!$B$9+N(I41)*'Đơn giá'!$B$10))</f>
        <v>766220000</v>
      </c>
      <c r="L41" s="64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J4:K41">
    <cfRule type="expression" dxfId="6" priority="1">
      <formula>LEFT(J4,2)="&lt;&lt;"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0.0"/>
    <col customWidth="1" hidden="1" min="2" max="6" width="12.0"/>
    <col customWidth="1" hidden="1" min="7" max="8" width="14.0"/>
    <col customWidth="1" min="9" max="11" width="14.0"/>
    <col customWidth="1" min="12" max="12" width="25.57"/>
    <col customWidth="1" min="13" max="27" width="8.57"/>
  </cols>
  <sheetData>
    <row r="1" ht="14.25" customHeight="1">
      <c r="A1" s="1" t="s">
        <v>0</v>
      </c>
    </row>
    <row r="2" ht="14.25" customHeight="1">
      <c r="A2" s="3"/>
    </row>
    <row r="3" ht="14.25" customHeight="1">
      <c r="A3" s="8" t="s">
        <v>5</v>
      </c>
      <c r="B3" s="10">
        <v>46174.0</v>
      </c>
      <c r="C3" s="14"/>
    </row>
    <row r="4" ht="14.25" customHeight="1"/>
    <row r="5" ht="14.25" customHeight="1">
      <c r="A5" s="4" t="s">
        <v>29</v>
      </c>
      <c r="B5" s="16">
        <v>46174.0</v>
      </c>
      <c r="C5" s="16">
        <v>46204.0</v>
      </c>
      <c r="D5" s="16">
        <v>46235.0</v>
      </c>
      <c r="E5" s="16">
        <v>46266.0</v>
      </c>
      <c r="F5" s="16">
        <v>46296.0</v>
      </c>
      <c r="G5" s="18">
        <v>46327.0</v>
      </c>
      <c r="H5" s="18">
        <v>46357.0</v>
      </c>
      <c r="I5" s="20" t="s">
        <v>34</v>
      </c>
      <c r="J5" s="4" t="s">
        <v>38</v>
      </c>
      <c r="K5" s="4" t="s">
        <v>41</v>
      </c>
      <c r="L5" s="21" t="s">
        <v>15</v>
      </c>
    </row>
    <row r="6" ht="14.25" customHeight="1">
      <c r="A6" s="5" t="s">
        <v>50</v>
      </c>
      <c r="B6" s="22">
        <v>13.0</v>
      </c>
      <c r="C6" s="22">
        <v>44.0</v>
      </c>
      <c r="D6" s="22">
        <v>36.0</v>
      </c>
      <c r="E6" s="22">
        <v>30.0</v>
      </c>
      <c r="F6" s="22">
        <v>35.0</v>
      </c>
      <c r="G6" s="23">
        <v>35.0</v>
      </c>
      <c r="H6" s="23">
        <v>27.0</v>
      </c>
      <c r="I6" s="24">
        <f t="shared" ref="I6:I12" si="1">SUM(B6:H6)</f>
        <v>220</v>
      </c>
      <c r="J6" s="24">
        <f t="shared" ref="J6:J12" si="2">I6-K6</f>
        <v>-16</v>
      </c>
      <c r="K6" s="25">
        <f>'Theo WBS theo vai trò'!C41</f>
        <v>236</v>
      </c>
      <c r="L6" s="27" t="s">
        <v>55</v>
      </c>
    </row>
    <row r="7" ht="14.25" customHeight="1">
      <c r="A7" s="5" t="s">
        <v>57</v>
      </c>
      <c r="B7" s="22">
        <v>26.0</v>
      </c>
      <c r="C7" s="22">
        <v>84.0</v>
      </c>
      <c r="D7" s="22">
        <v>74.0</v>
      </c>
      <c r="E7" s="22">
        <v>68.0</v>
      </c>
      <c r="F7" s="22">
        <v>44.0</v>
      </c>
      <c r="G7" s="23" t="s">
        <v>58</v>
      </c>
      <c r="H7" s="23" t="s">
        <v>58</v>
      </c>
      <c r="I7" s="24">
        <f t="shared" si="1"/>
        <v>296</v>
      </c>
      <c r="J7" s="24">
        <f t="shared" si="2"/>
        <v>47</v>
      </c>
      <c r="K7" s="25">
        <f>'Theo WBS theo vai trò'!D41</f>
        <v>249</v>
      </c>
    </row>
    <row r="8" ht="14.25" customHeight="1">
      <c r="A8" s="5" t="s">
        <v>60</v>
      </c>
      <c r="B8" s="22">
        <v>24.0</v>
      </c>
      <c r="C8" s="22">
        <v>220.0</v>
      </c>
      <c r="D8" s="22">
        <v>48.0</v>
      </c>
      <c r="E8" s="22">
        <v>40.0</v>
      </c>
      <c r="F8" s="22">
        <v>8.0</v>
      </c>
      <c r="G8" s="23">
        <v>100.0</v>
      </c>
      <c r="H8" s="23" t="s">
        <v>58</v>
      </c>
      <c r="I8" s="24">
        <f t="shared" si="1"/>
        <v>440</v>
      </c>
      <c r="J8" s="24">
        <f t="shared" si="2"/>
        <v>50</v>
      </c>
      <c r="K8" s="25">
        <f>'Theo WBS theo vai trò'!E41</f>
        <v>390</v>
      </c>
    </row>
    <row r="9" ht="14.25" customHeight="1">
      <c r="A9" s="5" t="s">
        <v>61</v>
      </c>
      <c r="B9" s="22">
        <v>28.0</v>
      </c>
      <c r="C9" s="22">
        <v>92.0</v>
      </c>
      <c r="D9" s="22">
        <v>40.0</v>
      </c>
      <c r="E9" s="22" t="s">
        <v>58</v>
      </c>
      <c r="F9" s="22" t="s">
        <v>58</v>
      </c>
      <c r="G9" s="23" t="s">
        <v>58</v>
      </c>
      <c r="H9" s="23" t="s">
        <v>58</v>
      </c>
      <c r="I9" s="24">
        <f t="shared" si="1"/>
        <v>160</v>
      </c>
      <c r="J9" s="24">
        <f t="shared" si="2"/>
        <v>-52</v>
      </c>
      <c r="K9" s="25">
        <f>'Theo WBS theo vai trò'!F41</f>
        <v>212</v>
      </c>
      <c r="L9" s="32" t="s">
        <v>62</v>
      </c>
    </row>
    <row r="10" ht="14.25" customHeight="1">
      <c r="A10" s="33" t="s">
        <v>63</v>
      </c>
      <c r="B10" s="22">
        <v>38.0</v>
      </c>
      <c r="C10" s="22">
        <v>67.0</v>
      </c>
      <c r="D10" s="22">
        <v>260.0</v>
      </c>
      <c r="E10" s="22">
        <v>600.0</v>
      </c>
      <c r="F10" s="22">
        <v>432.0</v>
      </c>
      <c r="G10" s="23">
        <v>225.0</v>
      </c>
      <c r="H10" s="23">
        <v>150.0</v>
      </c>
      <c r="I10" s="24">
        <f t="shared" si="1"/>
        <v>1772</v>
      </c>
      <c r="J10" s="24">
        <f t="shared" si="2"/>
        <v>-40</v>
      </c>
      <c r="K10" s="25">
        <f>'Theo WBS theo vai trò'!G41</f>
        <v>1812</v>
      </c>
      <c r="L10" s="32" t="s">
        <v>62</v>
      </c>
    </row>
    <row r="11" ht="14.25" customHeight="1">
      <c r="A11" s="5" t="s">
        <v>64</v>
      </c>
      <c r="B11" s="22" t="s">
        <v>58</v>
      </c>
      <c r="C11" s="22" t="s">
        <v>58</v>
      </c>
      <c r="D11" s="22">
        <v>99.0</v>
      </c>
      <c r="E11" s="22">
        <v>153.0</v>
      </c>
      <c r="F11" s="22">
        <v>205.0</v>
      </c>
      <c r="G11" s="23">
        <v>102.0</v>
      </c>
      <c r="H11" s="23" t="s">
        <v>58</v>
      </c>
      <c r="I11" s="24">
        <f t="shared" si="1"/>
        <v>559</v>
      </c>
      <c r="J11" s="24">
        <f t="shared" si="2"/>
        <v>51</v>
      </c>
      <c r="K11" s="25">
        <f>'Theo WBS theo vai trò'!H41</f>
        <v>508</v>
      </c>
      <c r="L11" s="32"/>
    </row>
    <row r="12" ht="14.25" customHeight="1">
      <c r="A12" s="5" t="s">
        <v>65</v>
      </c>
      <c r="B12" s="22">
        <v>2.0</v>
      </c>
      <c r="C12" s="22">
        <v>8.0</v>
      </c>
      <c r="D12" s="22">
        <v>63.0</v>
      </c>
      <c r="E12" s="22">
        <v>92.0</v>
      </c>
      <c r="F12" s="22">
        <v>29.0</v>
      </c>
      <c r="G12" s="23">
        <v>42.0</v>
      </c>
      <c r="H12" s="23" t="s">
        <v>58</v>
      </c>
      <c r="I12" s="24">
        <f t="shared" si="1"/>
        <v>236</v>
      </c>
      <c r="J12" s="24">
        <f t="shared" si="2"/>
        <v>82</v>
      </c>
      <c r="K12" s="25">
        <f>'Theo WBS theo vai trò'!I41</f>
        <v>154</v>
      </c>
    </row>
    <row r="13" ht="14.25" customHeight="1">
      <c r="A13" s="36" t="s">
        <v>18</v>
      </c>
      <c r="B13" s="37">
        <f t="shared" ref="B13:F13" si="3">SUM(B6:B12)</f>
        <v>131</v>
      </c>
      <c r="C13" s="37">
        <f t="shared" si="3"/>
        <v>515</v>
      </c>
      <c r="D13" s="37">
        <f t="shared" si="3"/>
        <v>620</v>
      </c>
      <c r="E13" s="37">
        <f t="shared" si="3"/>
        <v>983</v>
      </c>
      <c r="F13" s="37">
        <f t="shared" si="3"/>
        <v>753</v>
      </c>
      <c r="G13" s="37"/>
      <c r="H13" s="37"/>
      <c r="I13" s="37">
        <f t="shared" ref="I13:K13" si="4">SUM(I6:I12)</f>
        <v>3683</v>
      </c>
      <c r="J13" s="38">
        <f t="shared" si="4"/>
        <v>122</v>
      </c>
      <c r="K13" s="38">
        <f t="shared" si="4"/>
        <v>3561</v>
      </c>
    </row>
    <row r="14" ht="14.25" customHeight="1">
      <c r="A14" s="36" t="s">
        <v>19</v>
      </c>
      <c r="B14" s="40">
        <f>IF(COUNT('Đơn giá'!$B$4:$B$10)&lt;7,"&lt;&lt;THIẾU: đơn giá&gt;&gt;",SUMPRODUCT(B6:B12,'Đơn giá'!$B$4:$B$10))</f>
        <v>31300000</v>
      </c>
      <c r="C14" s="40">
        <f>IF(COUNT('Đơn giá'!$B$4:$B$10)&lt;7,"&lt;&lt;THIẾU: đơn giá&gt;&gt;",SUMPRODUCT(C6:C12,'Đơn giá'!$B$4:$B$10))</f>
        <v>126800000</v>
      </c>
      <c r="D14" s="40">
        <f>IF(COUNT('Đơn giá'!$B$4:$B$10)&lt;7,"&lt;&lt;THIẾU: đơn giá&gt;&gt;",SUMPRODUCT(D6:D12,'Đơn giá'!$B$4:$B$10))</f>
        <v>133480000</v>
      </c>
      <c r="E14" s="40">
        <f>IF(COUNT('Đơn giá'!$B$4:$B$10)&lt;7,"&lt;&lt;THIẾU: đơn giá&gt;&gt;",SUMPRODUCT(E6:E12,'Đơn giá'!$B$4:$B$10))</f>
        <v>202140000</v>
      </c>
      <c r="F14" s="40">
        <f>IF(COUNT('Đơn giá'!$B$4:$B$10)&lt;7,"&lt;&lt;THIẾU: đơn giá&gt;&gt;",SUMPRODUCT(F6:F12,'Đơn giá'!$B$4:$B$10))</f>
        <v>153340000</v>
      </c>
      <c r="G14" s="40"/>
      <c r="H14" s="40"/>
      <c r="I14" s="40">
        <f>IF(COUNT('Đơn giá'!$B$4:$B$10)&lt;7,"&lt;&lt;THIẾU: đơn giá&gt;&gt;",SUMPRODUCT(I6:I12,'Đơn giá'!$B$4:$B$10))</f>
        <v>791580000</v>
      </c>
      <c r="K14" s="40">
        <f>IF(COUNT('Đơn giá'!$B$4:$B$10)&lt;7,"&lt;&lt;THIẾU: đơn giá&gt;&gt;",SUMPRODUCT(K6:K12,'Đơn giá'!$B$4:$B$10))</f>
        <v>766220000</v>
      </c>
    </row>
    <row r="15" ht="14.25" customHeight="1"/>
    <row r="16" ht="14.25" hidden="1" customHeight="1">
      <c r="A16" s="12" t="s">
        <v>78</v>
      </c>
      <c r="B16" s="48" t="str">
        <f t="array" ref="B16">IF(SUMPRODUCT(ABS(J6:J12))=0,"ĐẠT","LỆCH – xem cột chênh lệch")</f>
        <v>LỆCH – xem cột chênh lệch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conditionalFormatting sqref="J6:J12">
    <cfRule type="expression" dxfId="5" priority="1">
      <formula>J6&lt;&gt;0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2" width="14.0"/>
    <col customWidth="1" min="3" max="3" width="22.0"/>
    <col customWidth="1" min="4" max="4" width="20.0"/>
    <col customWidth="1" min="5" max="5" width="60.0"/>
    <col customWidth="1" min="6" max="26" width="8.57"/>
  </cols>
  <sheetData>
    <row r="1" ht="14.25" customHeight="1">
      <c r="A1" s="2" t="s">
        <v>68</v>
      </c>
    </row>
    <row r="2" ht="14.25" customHeight="1"/>
    <row r="3" ht="14.25" customHeight="1">
      <c r="A3" s="4" t="s">
        <v>6</v>
      </c>
      <c r="B3" s="20" t="s">
        <v>69</v>
      </c>
      <c r="C3" s="20" t="s">
        <v>70</v>
      </c>
      <c r="D3" s="4" t="s">
        <v>71</v>
      </c>
      <c r="E3" s="4" t="s">
        <v>72</v>
      </c>
    </row>
    <row r="4" ht="14.25" customHeight="1">
      <c r="A4" s="13" t="s">
        <v>50</v>
      </c>
      <c r="B4" s="25">
        <f>'Theo WBS theo vai trò'!C41</f>
        <v>236</v>
      </c>
      <c r="C4" s="39">
        <f>IF('Đơn giá'!B4="","&lt;&lt;THIẾU&gt;&gt;",'Đơn giá'!B4)</f>
        <v>300000</v>
      </c>
      <c r="D4" s="41">
        <f t="shared" ref="D4:D10" si="1">IF(ISNUMBER(C4),B4*C4,"&lt;&lt;THIẾU&gt;&gt;")</f>
        <v>70800000</v>
      </c>
      <c r="E4" s="42">
        <f t="shared" ref="E4:E10" si="2">IF(AND(ISNUMBER(D4),ISNUMBER($D$11)),IF($D$11=0,0,D4/$D$11),"")</f>
        <v>0.0924016601</v>
      </c>
    </row>
    <row r="5" ht="14.25" customHeight="1">
      <c r="A5" s="13" t="s">
        <v>57</v>
      </c>
      <c r="B5" s="25">
        <f>'Theo WBS theo vai trò'!D41</f>
        <v>249</v>
      </c>
      <c r="C5" s="39">
        <f>IF('Đơn giá'!B5="","&lt;&lt;THIẾU&gt;&gt;",'Đơn giá'!B5)</f>
        <v>280000</v>
      </c>
      <c r="D5" s="41">
        <f t="shared" si="1"/>
        <v>69720000</v>
      </c>
      <c r="E5" s="42">
        <f t="shared" si="2"/>
        <v>0.09099214325</v>
      </c>
    </row>
    <row r="6" ht="14.25" customHeight="1">
      <c r="A6" s="13" t="s">
        <v>60</v>
      </c>
      <c r="B6" s="25">
        <f>'Theo WBS theo vai trò'!E41</f>
        <v>390</v>
      </c>
      <c r="C6" s="39">
        <f>IF('Đơn giá'!B6="","&lt;&lt;THIẾU&gt;&gt;",'Đơn giá'!B6)</f>
        <v>250000</v>
      </c>
      <c r="D6" s="41">
        <f t="shared" si="1"/>
        <v>97500000</v>
      </c>
      <c r="E6" s="42">
        <f t="shared" si="2"/>
        <v>0.1272480489</v>
      </c>
    </row>
    <row r="7" ht="14.25" customHeight="1">
      <c r="A7" s="13" t="s">
        <v>61</v>
      </c>
      <c r="B7" s="25">
        <f>'Theo WBS theo vai trò'!F41</f>
        <v>212</v>
      </c>
      <c r="C7" s="39">
        <f>IF('Đơn giá'!B7="","&lt;&lt;THIẾU&gt;&gt;",'Đơn giá'!B7)</f>
        <v>220000</v>
      </c>
      <c r="D7" s="41">
        <f t="shared" si="1"/>
        <v>46640000</v>
      </c>
      <c r="E7" s="42">
        <f t="shared" si="2"/>
        <v>0.06087024614</v>
      </c>
    </row>
    <row r="8" ht="14.25" customHeight="1">
      <c r="A8" s="13" t="s">
        <v>85</v>
      </c>
      <c r="B8" s="25">
        <f>'Theo WBS theo vai trò'!G41</f>
        <v>1812</v>
      </c>
      <c r="C8" s="39">
        <f>IF('Đơn giá'!B8="","&lt;&lt;THIẾU&gt;&gt;",'Đơn giá'!B8)</f>
        <v>200000</v>
      </c>
      <c r="D8" s="41">
        <f t="shared" si="1"/>
        <v>362400000</v>
      </c>
      <c r="E8" s="42">
        <f t="shared" si="2"/>
        <v>0.4729712093</v>
      </c>
    </row>
    <row r="9" ht="14.25" customHeight="1">
      <c r="A9" s="13" t="s">
        <v>87</v>
      </c>
      <c r="B9" s="25">
        <f>'Theo WBS theo vai trò'!H41</f>
        <v>508</v>
      </c>
      <c r="C9" s="39">
        <f>IF('Đơn giá'!B9="","&lt;&lt;THIẾU&gt;&gt;",'Đơn giá'!B9)</f>
        <v>180000</v>
      </c>
      <c r="D9" s="41">
        <f t="shared" si="1"/>
        <v>91440000</v>
      </c>
      <c r="E9" s="42">
        <f t="shared" si="2"/>
        <v>0.1193390932</v>
      </c>
    </row>
    <row r="10" ht="14.25" customHeight="1">
      <c r="A10" s="13" t="s">
        <v>65</v>
      </c>
      <c r="B10" s="25">
        <f>'Theo WBS theo vai trò'!I41</f>
        <v>154</v>
      </c>
      <c r="C10" s="39">
        <f>IF('Đơn giá'!B10="","&lt;&lt;THIẾU&gt;&gt;",'Đơn giá'!B10)</f>
        <v>180000</v>
      </c>
      <c r="D10" s="41">
        <f t="shared" si="1"/>
        <v>27720000</v>
      </c>
      <c r="E10" s="42">
        <f t="shared" si="2"/>
        <v>0.03617759912</v>
      </c>
    </row>
    <row r="11" ht="14.25" customHeight="1">
      <c r="A11" s="36" t="s">
        <v>93</v>
      </c>
      <c r="B11" s="37">
        <f>SUM(B4:B10)</f>
        <v>3561</v>
      </c>
      <c r="C11" s="51"/>
      <c r="D11" s="40">
        <f>IF(COUNT(D4:D10)&lt;7,"&lt;&lt;THIẾU&gt;&gt;",SUM(D4:D10))</f>
        <v>766220000</v>
      </c>
      <c r="E11" s="51"/>
    </row>
    <row r="12" ht="14.25" hidden="1" customHeight="1">
      <c r="A12" s="52" t="s">
        <v>98</v>
      </c>
      <c r="B12" s="51"/>
      <c r="C12" s="51"/>
      <c r="D12" s="53">
        <v>5.0E7</v>
      </c>
      <c r="E12" s="51"/>
    </row>
    <row r="13" ht="14.25" hidden="1" customHeight="1">
      <c r="A13" s="54" t="s">
        <v>102</v>
      </c>
      <c r="B13" s="51"/>
      <c r="C13" s="51"/>
      <c r="D13" s="55">
        <f>SUM(D11:D12)</f>
        <v>816220000</v>
      </c>
      <c r="E13" s="51"/>
    </row>
    <row r="14" ht="14.25" customHeight="1"/>
    <row r="15" ht="14.25" customHeight="1">
      <c r="A15" s="56" t="s">
        <v>104</v>
      </c>
    </row>
    <row r="16" ht="14.25" customHeight="1">
      <c r="A16" s="4" t="s">
        <v>105</v>
      </c>
      <c r="B16" s="4" t="s">
        <v>106</v>
      </c>
      <c r="C16" s="4" t="s">
        <v>71</v>
      </c>
      <c r="D16" s="4" t="s">
        <v>72</v>
      </c>
      <c r="E16" s="4"/>
    </row>
    <row r="17" ht="14.25" customHeight="1">
      <c r="A17" s="29" t="s">
        <v>107</v>
      </c>
      <c r="B17" s="57">
        <f>'Theo WBS theo vai trò'!J4</f>
        <v>282</v>
      </c>
      <c r="C17" s="59">
        <f>'Theo WBS theo vai trò'!K4</f>
        <v>79320000</v>
      </c>
      <c r="D17" s="62">
        <f t="shared" ref="D17:D22" si="3">IF(AND(ISNUMBER(C17),ISNUMBER($D$11)),IF($D$11=0,0,C17/$D$11),"")</f>
        <v>0.1035211819</v>
      </c>
      <c r="E17" s="29"/>
    </row>
    <row r="18" ht="14.25" customHeight="1">
      <c r="A18" s="29" t="s">
        <v>112</v>
      </c>
      <c r="B18" s="57">
        <f>'Theo WBS theo vai trò'!J9</f>
        <v>292</v>
      </c>
      <c r="C18" s="59">
        <f>'Theo WBS theo vai trò'!K9</f>
        <v>73080000</v>
      </c>
      <c r="D18" s="62">
        <f t="shared" si="3"/>
        <v>0.09537730678</v>
      </c>
      <c r="E18" s="29"/>
    </row>
    <row r="19" ht="14.25" customHeight="1">
      <c r="A19" s="29" t="s">
        <v>113</v>
      </c>
      <c r="B19" s="57">
        <f>'Theo WBS theo vai trò'!J15</f>
        <v>562</v>
      </c>
      <c r="C19" s="59">
        <f>'Theo WBS theo vai trò'!K15</f>
        <v>127860000</v>
      </c>
      <c r="D19" s="62">
        <f t="shared" si="3"/>
        <v>0.1668711336</v>
      </c>
      <c r="E19" s="29"/>
    </row>
    <row r="20" ht="14.25" customHeight="1">
      <c r="A20" s="29" t="s">
        <v>116</v>
      </c>
      <c r="B20" s="57">
        <f>'Theo WBS theo vai trò'!J22</f>
        <v>1453</v>
      </c>
      <c r="C20" s="59">
        <f>'Theo WBS theo vai trò'!K22</f>
        <v>297720000</v>
      </c>
      <c r="D20" s="62">
        <f t="shared" si="3"/>
        <v>0.3885568114</v>
      </c>
      <c r="E20" s="29"/>
    </row>
    <row r="21" ht="14.25" customHeight="1">
      <c r="A21" s="29" t="s">
        <v>117</v>
      </c>
      <c r="B21" s="57">
        <f>'Theo WBS theo vai trò'!J29</f>
        <v>768</v>
      </c>
      <c r="C21" s="59">
        <f>'Theo WBS theo vai trò'!K29</f>
        <v>145280000</v>
      </c>
      <c r="D21" s="62">
        <f t="shared" si="3"/>
        <v>0.1896061183</v>
      </c>
      <c r="E21" s="29"/>
    </row>
    <row r="22" ht="14.25" customHeight="1">
      <c r="A22" s="29" t="s">
        <v>118</v>
      </c>
      <c r="B22" s="57">
        <f>'Theo WBS theo vai trò'!J36</f>
        <v>204</v>
      </c>
      <c r="C22" s="59">
        <f>'Theo WBS theo vai trò'!K36</f>
        <v>42960000</v>
      </c>
      <c r="D22" s="62">
        <f t="shared" si="3"/>
        <v>0.05606744799</v>
      </c>
      <c r="E22" s="29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conditionalFormatting sqref="B4:D996">
    <cfRule type="expression" dxfId="6" priority="1">
      <formula>LEFT(B4,2)="&lt;&lt;"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1.0"/>
    <col customWidth="1" min="3" max="3" width="27.0"/>
    <col customWidth="1" min="4" max="4" width="27.57"/>
  </cols>
  <sheetData>
    <row r="1" ht="22.5" customHeight="1">
      <c r="A1" s="43" t="s">
        <v>77</v>
      </c>
      <c r="B1" s="43" t="s">
        <v>79</v>
      </c>
      <c r="C1" s="43" t="s">
        <v>80</v>
      </c>
      <c r="D1" s="43" t="s">
        <v>83</v>
      </c>
    </row>
    <row r="2" ht="22.5" customHeight="1">
      <c r="A2" s="44">
        <v>1.0</v>
      </c>
      <c r="B2" s="45" t="s">
        <v>50</v>
      </c>
      <c r="C2" s="46" t="s">
        <v>84</v>
      </c>
      <c r="D2" s="47">
        <v>7.08E7</v>
      </c>
    </row>
    <row r="3" ht="22.5" customHeight="1">
      <c r="A3" s="44">
        <v>2.0</v>
      </c>
      <c r="B3" s="45" t="s">
        <v>57</v>
      </c>
      <c r="C3" s="46" t="s">
        <v>86</v>
      </c>
      <c r="D3" s="47">
        <v>6.972E7</v>
      </c>
    </row>
    <row r="4" ht="22.5" customHeight="1">
      <c r="A4" s="44">
        <v>3.0</v>
      </c>
      <c r="B4" s="45" t="s">
        <v>60</v>
      </c>
      <c r="C4" s="46" t="s">
        <v>88</v>
      </c>
      <c r="D4" s="47">
        <v>9.75E7</v>
      </c>
    </row>
    <row r="5" ht="22.5" customHeight="1">
      <c r="A5" s="44">
        <v>4.0</v>
      </c>
      <c r="B5" s="45" t="s">
        <v>61</v>
      </c>
      <c r="C5" s="46" t="s">
        <v>90</v>
      </c>
      <c r="D5" s="47">
        <v>4.664E7</v>
      </c>
    </row>
    <row r="6" ht="22.5" customHeight="1">
      <c r="A6" s="44">
        <v>5.0</v>
      </c>
      <c r="B6" s="46" t="s">
        <v>85</v>
      </c>
      <c r="C6" s="46" t="s">
        <v>92</v>
      </c>
      <c r="D6" s="49">
        <f t="shared" ref="D6:D8" si="1">362400000/3</f>
        <v>120800000</v>
      </c>
    </row>
    <row r="7" ht="22.5" customHeight="1">
      <c r="A7" s="44">
        <v>6.0</v>
      </c>
      <c r="B7" s="46" t="s">
        <v>85</v>
      </c>
      <c r="C7" s="46" t="s">
        <v>96</v>
      </c>
      <c r="D7" s="49">
        <f t="shared" si="1"/>
        <v>120800000</v>
      </c>
    </row>
    <row r="8" ht="22.5" customHeight="1">
      <c r="A8" s="44">
        <v>7.0</v>
      </c>
      <c r="B8" s="46" t="s">
        <v>85</v>
      </c>
      <c r="C8" s="46" t="s">
        <v>97</v>
      </c>
      <c r="D8" s="49">
        <f t="shared" si="1"/>
        <v>120800000</v>
      </c>
    </row>
    <row r="9" ht="22.5" customHeight="1">
      <c r="A9" s="44">
        <v>8.0</v>
      </c>
      <c r="B9" s="45" t="s">
        <v>64</v>
      </c>
      <c r="C9" s="46" t="s">
        <v>99</v>
      </c>
      <c r="D9" s="47">
        <f t="shared" ref="D9:D10" si="2">91440000/2</f>
        <v>45720000</v>
      </c>
    </row>
    <row r="10" ht="22.5" customHeight="1">
      <c r="A10" s="44">
        <v>9.0</v>
      </c>
      <c r="B10" s="45" t="s">
        <v>64</v>
      </c>
      <c r="C10" s="46" t="s">
        <v>103</v>
      </c>
      <c r="D10" s="47">
        <f t="shared" si="2"/>
        <v>45720000</v>
      </c>
    </row>
    <row r="11" ht="22.5" customHeight="1">
      <c r="A11" s="44">
        <v>10.0</v>
      </c>
      <c r="B11" s="45" t="s">
        <v>65</v>
      </c>
      <c r="C11" s="46" t="s">
        <v>108</v>
      </c>
      <c r="D11" s="47">
        <v>2.772E7</v>
      </c>
    </row>
    <row r="12" ht="22.5" customHeight="1">
      <c r="A12" s="58"/>
      <c r="B12" s="60" t="s">
        <v>109</v>
      </c>
      <c r="C12" s="61"/>
      <c r="D12" s="63">
        <f>SUM(D2:D11)</f>
        <v>766220000</v>
      </c>
    </row>
  </sheetData>
  <dataValidations>
    <dataValidation type="custom" allowBlank="1" showDropDown="1" sqref="A2:A1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2026-10-13T16:18:23Z</dcterms:created>
  <dc:creator>openpyxl</dc:creator>
</cp:coreProperties>
</file>